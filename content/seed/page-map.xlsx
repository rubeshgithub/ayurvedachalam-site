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Page Map" sheetId="2" state="visible" r:id="rId4"/>
    <sheet name="Keyword Clusters" sheetId="3" state="visible" r:id="rId5"/>
    <sheet name="Search Results Checked" sheetId="4" state="visible" r:id="rId6"/>
  </sheets>
  <definedNames>
    <definedName function="false" hidden="true" localSheetId="1" name="_xlnm._FilterDatabase" vbProcedure="false">'Page Map'!$A$1:$Q$101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<sst xmlns="http://schemas.openxmlformats.org/spreadsheetml/2006/main" count="1375" uniqueCount="851">
  <si>
    <t xml:space="preserve">Ayurvedachalam: 100-Page SEO Map</t>
  </si>
  <si>
    <t xml:space="preserve">Prepared 13 October 2026, revised the same day. Companion to the Market Research and SEO Launch Report and the six project files (product, architecture, rules, design, tasks, memory).</t>
  </si>
  <si>
    <t xml:space="preserve">What is in this workbook</t>
  </si>
  <si>
    <t xml:space="preserve">Page Map: all 100 pages with URL slug, keywords, search intent, title tag, H1 headline, priority wave and notes.</t>
  </si>
  <si>
    <t xml:space="preserve">Keyword Clusters: the keyword groups behind the map, with spelling variants and the page each group targets.</t>
  </si>
  <si>
    <t xml:space="preserve">Search Results Checked: what Google Canada showed for 11 searches on 13 October 2026, and the gap each reveals.</t>
  </si>
  <si>
    <t xml:space="preserve">How to use the Page Map</t>
  </si>
  <si>
    <t xml:space="preserve">Wave 1 (37 pages) is the launch set: 30 service and trust pages, the Learn hub and six cornerstone articles. Wave 2 (35) follows in weeks 5 to 8. Wave 3 (16) follows in weeks 9 to 13.</t>
  </si>
  <si>
    <t xml:space="preserve">Wave A (12 pages) marks articles delivered by the weekly article pipeline. New article topics beyond the map are tracked in tasks.md section 8, then in queue.md, and get a row here when written.</t>
  </si>
  <si>
    <t xml:space="preserve">Status and Owner (yellow columns) are yours to fill in. Everything else is the plan.</t>
  </si>
  <si>
    <t xml:space="preserve">Title length is calculated. Cells turn red above 60 characters, the point where Google usually truncates a title.</t>
  </si>
  <si>
    <t xml:space="preserve">Slugs are final URL paths. Keep them lowercase with hyphens and do not change them after launch without a redirect.</t>
  </si>
  <si>
    <t xml:space="preserve">What the ratings mean</t>
  </si>
  <si>
    <t xml:space="preserve">Demand (est.) and Competition (obs.) are estimates: High, Medium or Low. Demand is my judgement of relative search interest. Competition reflects who ranked in the searches checked.</t>
  </si>
  <si>
    <t xml:space="preserve">They are NOT measured search volumes. Before writing Wave 2, check each primary keyword in Google Keyword Planner (free with a Google Ads account) set to Canada and to Calgary, and adjust priorities.</t>
  </si>
  <si>
    <t xml:space="preserve">Wording rules that apply to every page</t>
  </si>
  <si>
    <t xml:space="preserve">Do not use 'Dr.' or 'Ayurvedic doctor' as a title. Where the map lists 'ayurvedic doctor calgary (search term only)', it is a phrase people search, to be answered in body text, not a title to claim.</t>
  </si>
  <si>
    <t xml:space="preserve">Write 'supports', 'traditionally used for' and 'many clients report'. Do not write 'cures', 'treats' or 'reverses' for any disease.</t>
  </si>
  <si>
    <t xml:space="preserve">Primary keywords such as 'ayurvedic treatment for back pain' are the phrases people type. Target them through the page topic and URL; the title, H1 and copy stay with 'approach' and 'support'.</t>
  </si>
  <si>
    <t xml:space="preserve">Rows marked LEGAL CHECK need a lawyer's confirmation of what may be offered and how it may be described in Alberta.</t>
  </si>
  <si>
    <t xml:space="preserve">Vasti and Basti are two spellings of the same word. Titles carry both so either search finds the page.</t>
  </si>
  <si>
    <t xml:space="preserve">O2 Herbal Therapy Centre is a former association of the practitioner and a competitor. Nothing from its site or from the old Alignable listings is reused.</t>
  </si>
  <si>
    <t xml:space="preserve">#</t>
  </si>
  <si>
    <t xml:space="preserve">Wave</t>
  </si>
  <si>
    <t xml:space="preserve">Section</t>
  </si>
  <si>
    <t xml:space="preserve">Page</t>
  </si>
  <si>
    <t xml:space="preserve">URL slug</t>
  </si>
  <si>
    <t xml:space="preserve">Full URL</t>
  </si>
  <si>
    <t xml:space="preserve">Primary keyword</t>
  </si>
  <si>
    <t xml:space="preserve">Secondary keywords</t>
  </si>
  <si>
    <t xml:space="preserve">Search intent</t>
  </si>
  <si>
    <t xml:space="preserve">Title tag</t>
  </si>
  <si>
    <t xml:space="preserve">Title length</t>
  </si>
  <si>
    <t xml:space="preserve">H1 headline</t>
  </si>
  <si>
    <t xml:space="preserve">Demand (est.)</t>
  </si>
  <si>
    <t xml:space="preserve">Competition (obs.)</t>
  </si>
  <si>
    <t xml:space="preserve">Notes</t>
  </si>
  <si>
    <t xml:space="preserve">Status</t>
  </si>
  <si>
    <t xml:space="preserve">Owner</t>
  </si>
  <si>
    <t xml:space="preserve">Pages by wave</t>
  </si>
  <si>
    <t xml:space="preserve">Core</t>
  </si>
  <si>
    <t xml:space="preserve">Home</t>
  </si>
  <si>
    <t xml:space="preserve">/</t>
  </si>
  <si>
    <t xml:space="preserve">ayurveda calgary</t>
  </si>
  <si>
    <t xml:space="preserve">ayurvedic clinic calgary; ayurvedic practitioner calgary; ayurveda online canada</t>
  </si>
  <si>
    <t xml:space="preserve">Local / Commercial</t>
  </si>
  <si>
    <t xml:space="preserve">Ayurveda in Calgary &amp; Online Across Canada | Ayurvedachalam</t>
  </si>
  <si>
    <t xml:space="preserve">Ayurveda in Calgary, and Online Across Canada</t>
  </si>
  <si>
    <t xml:space="preserve">High</t>
  </si>
  <si>
    <t xml:space="preserve">Medium</t>
  </si>
  <si>
    <t xml:space="preserve">Lead with BAMS + RMT credentials, a booking button, and three paths: consultations, therapies, spiritual healing.</t>
  </si>
  <si>
    <t xml:space="preserve">Not started</t>
  </si>
  <si>
    <t xml:space="preserve">1 Launch set</t>
  </si>
  <si>
    <t xml:space="preserve">About Ayurvedachalam</t>
  </si>
  <si>
    <t xml:space="preserve">/about/</t>
  </si>
  <si>
    <t xml:space="preserve">about ayurvedachalam</t>
  </si>
  <si>
    <t xml:space="preserve">authentic ayurveda calgary; kerala ayurveda calgary; ayurveda centre calgary</t>
  </si>
  <si>
    <t xml:space="preserve">Navigational</t>
  </si>
  <si>
    <t xml:space="preserve">About Ayurvedachalam | Authentic Ayurveda in Calgary</t>
  </si>
  <si>
    <t xml:space="preserve">Low</t>
  </si>
  <si>
    <t xml:space="preserve">Brand story and the meaning of the name. Fresh copy only: reuse nothing that appears on o2herbaltherapy.ca or the old Alignable listings.</t>
  </si>
  <si>
    <t xml:space="preserve">2 Wave 2</t>
  </si>
  <si>
    <t xml:space="preserve">Practitioner profile</t>
  </si>
  <si>
    <t xml:space="preserve">/about/practitioner/</t>
  </si>
  <si>
    <t xml:space="preserve">bams ayurvedic practitioner calgary</t>
  </si>
  <si>
    <t xml:space="preserve">ayurvedic doctor calgary (search term only); certified herbalist alberta; ayurvedic rmt calgary</t>
  </si>
  <si>
    <t xml:space="preserve">Commercial</t>
  </si>
  <si>
    <t xml:space="preserve">Your Ayurvedic Practitioner in Calgary | BAMS, RMT</t>
  </si>
  <si>
    <t xml:space="preserve">Meet Your Practitioner: BAMS, RMT, Certified Herbalist and Spiritual Healer</t>
  </si>
  <si>
    <t xml:space="preserve">Do not use 'Dr.' as a title. List degree, college, year, and association member numbers. Add Person schema.</t>
  </si>
  <si>
    <t xml:space="preserve">3 Wave 3</t>
  </si>
  <si>
    <t xml:space="preserve">Book an appointment</t>
  </si>
  <si>
    <t xml:space="preserve">/book/</t>
  </si>
  <si>
    <t xml:space="preserve">book ayurvedic consultation calgary</t>
  </si>
  <si>
    <t xml:space="preserve">ayurveda appointment calgary; book shirodhara calgary; book online ayurvedic consultation</t>
  </si>
  <si>
    <t xml:space="preserve">Transactional</t>
  </si>
  <si>
    <t xml:space="preserve">Book an Ayurvedic Consultation or Therapy | Calgary</t>
  </si>
  <si>
    <t xml:space="preserve">Book Your Appointment</t>
  </si>
  <si>
    <t xml:space="preserve">Embed the online scheduler. Offer a free 15-minute discovery call as the low-commitment option.</t>
  </si>
  <si>
    <t xml:space="preserve">A Article pipeline</t>
  </si>
  <si>
    <t xml:space="preserve">Prices and packages</t>
  </si>
  <si>
    <t xml:space="preserve">/pricing/</t>
  </si>
  <si>
    <t xml:space="preserve">ayurvedic treatment cost calgary</t>
  </si>
  <si>
    <t xml:space="preserve">shirodhara price calgary; ayurvedic consultation fee; abhyanga massage price</t>
  </si>
  <si>
    <t xml:space="preserve">Ayurvedic Consultation &amp; Therapy Prices in Calgary</t>
  </si>
  <si>
    <t xml:space="preserve">Prices and Packages</t>
  </si>
  <si>
    <t xml:space="preserve">The two main Calgary competitors publish no prices. Showing them is a differentiator.</t>
  </si>
  <si>
    <t xml:space="preserve">Total</t>
  </si>
  <si>
    <t xml:space="preserve">Insurance and direct billing</t>
  </si>
  <si>
    <t xml:space="preserve">/insurance-direct-billing/</t>
  </si>
  <si>
    <t xml:space="preserve">ayurvedic massage insurance calgary</t>
  </si>
  <si>
    <t xml:space="preserve">rmt direct billing calgary; massage therapy receipt; extended health benefits massage</t>
  </si>
  <si>
    <t xml:space="preserve">Insurance &amp; Direct Billing for RMT Massage | Calgary</t>
  </si>
  <si>
    <t xml:space="preserve">Insurance Coverage and Direct Billing</t>
  </si>
  <si>
    <t xml:space="preserve">State plainly: only massage therapy by the RMT is receipted as massage. Consultations and spiritual healing are not covered.</t>
  </si>
  <si>
    <t xml:space="preserve">Contact and location</t>
  </si>
  <si>
    <t xml:space="preserve">/contact/</t>
  </si>
  <si>
    <t xml:space="preserve">ayurvedachalam calgary contact</t>
  </si>
  <si>
    <t xml:space="preserve">ayurveda clinic calgary address; hours; parking; phone</t>
  </si>
  <si>
    <t xml:space="preserve">Contact Ayurvedachalam | Calgary Location &amp; Hours</t>
  </si>
  <si>
    <t xml:space="preserve">Contact and Location</t>
  </si>
  <si>
    <t xml:space="preserve">Name, address and phone must match the Google Business Profile exactly.</t>
  </si>
  <si>
    <t xml:space="preserve">Published</t>
  </si>
  <si>
    <t xml:space="preserve">Reviews</t>
  </si>
  <si>
    <t xml:space="preserve">/reviews/</t>
  </si>
  <si>
    <t xml:space="preserve">ayurveda calgary reviews</t>
  </si>
  <si>
    <t xml:space="preserve">best ayurvedic practitioner calgary; ayurvedachalam reviews; testimonials</t>
  </si>
  <si>
    <t xml:space="preserve">Client Reviews | Ayurvedachalam Calgary</t>
  </si>
  <si>
    <t xml:space="preserve">What Clients Say</t>
  </si>
  <si>
    <t xml:space="preserve">Real reviews only. Remove any that claim a disease was cured.</t>
  </si>
  <si>
    <t xml:space="preserve">FAQ</t>
  </si>
  <si>
    <t xml:space="preserve">/faq/</t>
  </si>
  <si>
    <t xml:space="preserve">ayurveda faq</t>
  </si>
  <si>
    <t xml:space="preserve">is ayurveda safe; how many sessions; what to wear for abhyanga; is it covered</t>
  </si>
  <si>
    <t xml:space="preserve">Informational</t>
  </si>
  <si>
    <t xml:space="preserve">Ayurveda FAQ: Consultations, Therapies &amp; Booking</t>
  </si>
  <si>
    <t xml:space="preserve">Frequently Asked Questions</t>
  </si>
  <si>
    <t xml:space="preserve">Add FAQPage schema. Link each answer to its detailed page.</t>
  </si>
  <si>
    <t xml:space="preserve">Your first visit</t>
  </si>
  <si>
    <t xml:space="preserve">/first-visit/</t>
  </si>
  <si>
    <t xml:space="preserve">what to expect ayurvedic consultation</t>
  </si>
  <si>
    <t xml:space="preserve">first ayurvedic appointment; how to prepare for shirodhara; intake form</t>
  </si>
  <si>
    <t xml:space="preserve">Your First Visit: What to Expect | Ayurvedachalam</t>
  </si>
  <si>
    <t xml:space="preserve">Your First Visit: What to Expect</t>
  </si>
  <si>
    <t xml:space="preserve">Reduces booking anxiety for clients new to Ayurveda. Include photos of the room.</t>
  </si>
  <si>
    <t xml:space="preserve">Consultations</t>
  </si>
  <si>
    <t xml:space="preserve">Consultations hub</t>
  </si>
  <si>
    <t xml:space="preserve">/consultations/</t>
  </si>
  <si>
    <t xml:space="preserve">ayurvedic consultation</t>
  </si>
  <si>
    <t xml:space="preserve">ayurvedic practitioner consultation; ayurveda assessment; dosha consultation</t>
  </si>
  <si>
    <t xml:space="preserve">Ayurvedic Consultations | In Calgary or Online in Canada</t>
  </si>
  <si>
    <t xml:space="preserve">Ayurvedic Consultations</t>
  </si>
  <si>
    <t xml:space="preserve">Hub page linking to every consultation type, with a comparison of in-person and online.</t>
  </si>
  <si>
    <t xml:space="preserve">Online consultation (Canada)</t>
  </si>
  <si>
    <t xml:space="preserve">/consultations/online-ayurvedic-consultation-canada/</t>
  </si>
  <si>
    <t xml:space="preserve">online ayurvedic consultation canada</t>
  </si>
  <si>
    <t xml:space="preserve">virtual ayurveda consultation; ayurvedic practitioner online canada; ayurvedic doctor online canada (search term only)</t>
  </si>
  <si>
    <t xml:space="preserve">Online Ayurvedic Consultation in Canada | BAMS Practitioner</t>
  </si>
  <si>
    <t xml:space="preserve">Online Ayurvedic Consultation, Anywhere in Canada</t>
  </si>
  <si>
    <t xml:space="preserve">Ranking now: Ayush for Life, Ayurveda Vancouver ($135 for 60 min), Santhigram, Source Ayurveda. No Alberta practice ranks.</t>
  </si>
  <si>
    <t xml:space="preserve">In-person consultation (Calgary)</t>
  </si>
  <si>
    <t xml:space="preserve">/consultations/ayurvedic-consultation-calgary/</t>
  </si>
  <si>
    <t xml:space="preserve">ayurvedic consultation calgary</t>
  </si>
  <si>
    <t xml:space="preserve">ayurvedic doctor calgary (search term only); ayurvedic practitioner near me; ayurveda specialist calgary</t>
  </si>
  <si>
    <t xml:space="preserve">Local</t>
  </si>
  <si>
    <t xml:space="preserve">Ayurvedic Consultation in Calgary | BAMS Practitioner</t>
  </si>
  <si>
    <t xml:space="preserve">In-Person Ayurvedic Consultation in Calgary</t>
  </si>
  <si>
    <t xml:space="preserve">Ayurkulam ranks with a thin page. Include fee, duration, what happens, and FAQs.</t>
  </si>
  <si>
    <t xml:space="preserve">Nadi Pariksha</t>
  </si>
  <si>
    <t xml:space="preserve">/consultations/nadi-pariksha-pulse-reading/</t>
  </si>
  <si>
    <t xml:space="preserve">nadi pariksha calgary</t>
  </si>
  <si>
    <t xml:space="preserve">ayurvedic pulse reading; nadi pareeksha; pulse assessment ayurveda canada</t>
  </si>
  <si>
    <t xml:space="preserve">Nadi Pariksha in Calgary | Ayurvedic Pulse Reading</t>
  </si>
  <si>
    <t xml:space="preserve">Nadi Pariksha: Ayurvedic Pulse Reading</t>
  </si>
  <si>
    <t xml:space="preserve">Say 'pulse reading' or 'assessment', not 'diagnosis'. Healwell and Ayurkulam each have a page.</t>
  </si>
  <si>
    <t xml:space="preserve">Diet and nutrition</t>
  </si>
  <si>
    <t xml:space="preserve">/consultations/ayurvedic-diet-consultation/</t>
  </si>
  <si>
    <t xml:space="preserve">ayurvedic diet consultation</t>
  </si>
  <si>
    <t xml:space="preserve">ayurvedic nutrition canada; dosha diet plan; ayurvedic meal plan</t>
  </si>
  <si>
    <t xml:space="preserve">Ayurvedic Diet Consultation &amp; Dosha Meal Plan | Canada</t>
  </si>
  <si>
    <t xml:space="preserve">Ayurvedic Diet and Nutrition Consultation</t>
  </si>
  <si>
    <t xml:space="preserve">Works well online. Offer a written plan as the deliverable.</t>
  </si>
  <si>
    <t xml:space="preserve">Herbal consultation</t>
  </si>
  <si>
    <t xml:space="preserve">/consultations/ayurvedic-herbal-consultation/</t>
  </si>
  <si>
    <t xml:space="preserve">ayurvedic herbalist calgary</t>
  </si>
  <si>
    <t xml:space="preserve">certified herbalist alberta; ayurvedic herbs consultation; herbal medicine calgary</t>
  </si>
  <si>
    <t xml:space="preserve">Ayurvedic Herbal Consultation | Certified Herbalist Calgary</t>
  </si>
  <si>
    <t xml:space="preserve">Ayurvedic Herbal Consultation</t>
  </si>
  <si>
    <t xml:space="preserve">Recommend only Health Canada licensed (NPN) products and say so on the page.</t>
  </si>
  <si>
    <t xml:space="preserve">Women's wellness</t>
  </si>
  <si>
    <t xml:space="preserve">/consultations/womens-wellness/</t>
  </si>
  <si>
    <t xml:space="preserve">ayurveda for womens health</t>
  </si>
  <si>
    <t xml:space="preserve">ayurveda hormone balance; ayurveda perimenopause; ayurvedic postpartum care</t>
  </si>
  <si>
    <t xml:space="preserve">Ayurveda for Women's Wellness | Online &amp; in Calgary</t>
  </si>
  <si>
    <t xml:space="preserve">Ayurvedic Consultations for Women's Wellness</t>
  </si>
  <si>
    <t xml:space="preserve">Ayush for Life and one Ontario naturopath target this niche nationally.</t>
  </si>
  <si>
    <t xml:space="preserve">Digestive wellness</t>
  </si>
  <si>
    <t xml:space="preserve">/consultations/digestive-wellness/</t>
  </si>
  <si>
    <t xml:space="preserve">ayurvedic consultation for digestion</t>
  </si>
  <si>
    <t xml:space="preserve">ayurveda gut health; agni digestion; ayurvedic practitioner bloating</t>
  </si>
  <si>
    <t xml:space="preserve">Ayurvedic Consultation for Digestive Wellness | Canada</t>
  </si>
  <si>
    <t xml:space="preserve">Ayurvedic Consultations for Digestive Wellness</t>
  </si>
  <si>
    <t xml:space="preserve">Link to the digestion concern page and the diet consultation.</t>
  </si>
  <si>
    <t xml:space="preserve">Stress and sleep</t>
  </si>
  <si>
    <t xml:space="preserve">/consultations/stress-and-sleep/</t>
  </si>
  <si>
    <t xml:space="preserve">ayurvedic consultation for stress</t>
  </si>
  <si>
    <t xml:space="preserve">ayurvedic consultation sleep; natural sleep support; burnout ayurveda</t>
  </si>
  <si>
    <t xml:space="preserve">Ayurveda for Stress and Sleep | Consultation in Canada</t>
  </si>
  <si>
    <t xml:space="preserve">Ayurvedic Consultations for Stress and Sleep</t>
  </si>
  <si>
    <t xml:space="preserve">Say 'stress' and 'sleep quality'. Avoid 'treats anxiety' or 'treats insomnia'.</t>
  </si>
  <si>
    <t xml:space="preserve">Seasonal cleanse program</t>
  </si>
  <si>
    <t xml:space="preserve">/consultations/seasonal-cleanse-program/</t>
  </si>
  <si>
    <t xml:space="preserve">ayurvedic cleanse canada</t>
  </si>
  <si>
    <t xml:space="preserve">home panchakarma; ayurvedic detox program; guided kitchari cleanse</t>
  </si>
  <si>
    <t xml:space="preserve">Guided Ayurvedic Seasonal Cleanse Program | Canada</t>
  </si>
  <si>
    <t xml:space="preserve">Guided Seasonal Cleanse Program</t>
  </si>
  <si>
    <t xml:space="preserve">Ayurveda Vancouver sells a home detox. A guided virtual version can be sold nationally.</t>
  </si>
  <si>
    <t xml:space="preserve">Therapies</t>
  </si>
  <si>
    <t xml:space="preserve">Therapies hub</t>
  </si>
  <si>
    <t xml:space="preserve">/therapies/</t>
  </si>
  <si>
    <t xml:space="preserve">ayurvedic treatments calgary</t>
  </si>
  <si>
    <t xml:space="preserve">ayurvedic therapies calgary; ayurveda spa calgary; kerala ayurveda treatments</t>
  </si>
  <si>
    <t xml:space="preserve">Ayurvedic Treatments &amp; Therapies in Calgary</t>
  </si>
  <si>
    <t xml:space="preserve">Ayurvedic Therapies in Calgary</t>
  </si>
  <si>
    <t xml:space="preserve">Hub with a card per therapy: what it is, length, price, link.</t>
  </si>
  <si>
    <t xml:space="preserve">Abhyanga</t>
  </si>
  <si>
    <t xml:space="preserve">/therapies/abhyanga/</t>
  </si>
  <si>
    <t xml:space="preserve">abhyanga massage calgary</t>
  </si>
  <si>
    <t xml:space="preserve">ayurvedic oil massage; warm oil massage calgary; abhyanga near me</t>
  </si>
  <si>
    <t xml:space="preserve">Abhyanga Massage in Calgary | Ayurvedic Warm Oil Massage</t>
  </si>
  <si>
    <t xml:space="preserve">Abhyanga: Ayurvedic Warm Oil Massage in Calgary</t>
  </si>
  <si>
    <t xml:space="preserve">A NW spa ranks first. RMT receipts are your edge; say so near the top.</t>
  </si>
  <si>
    <t xml:space="preserve">Shirodhara</t>
  </si>
  <si>
    <t xml:space="preserve">/therapies/shirodhara/</t>
  </si>
  <si>
    <t xml:space="preserve">shirodhara calgary</t>
  </si>
  <si>
    <t xml:space="preserve">shirodhara treatment; shirodhara near me; warm oil forehead therapy</t>
  </si>
  <si>
    <t xml:space="preserve">Shirodhara in Calgary | Warm Oil Forehead Therapy</t>
  </si>
  <si>
    <t xml:space="preserve">Shirodhara in Calgary</t>
  </si>
  <si>
    <t xml:space="preserve">Ranking now: a spa, a mobile massage site, a solo RMT. Do not reuse the 'curative effect' wording from the Alignable listing.</t>
  </si>
  <si>
    <t xml:space="preserve">Kati Vasti</t>
  </si>
  <si>
    <t xml:space="preserve">/therapies/kati-vasti/</t>
  </si>
  <si>
    <t xml:space="preserve">kati basti calgary</t>
  </si>
  <si>
    <t xml:space="preserve">kati vasti; lower back oil therapy; ayurvedic back therapy</t>
  </si>
  <si>
    <t xml:space="preserve">Kati Vasti (Kati Basti) in Calgary | Lower Back Therapy</t>
  </si>
  <si>
    <t xml:space="preserve">Kati Vasti: Warm Oil Therapy for the Lower Back</t>
  </si>
  <si>
    <t xml:space="preserve">No Calgary provider ranks today. Use both spellings (Vasti and Basti). Explain that it is external.</t>
  </si>
  <si>
    <t xml:space="preserve">Janu Vasti</t>
  </si>
  <si>
    <t xml:space="preserve">/therapies/janu-vasti/</t>
  </si>
  <si>
    <t xml:space="preserve">janu basti calgary</t>
  </si>
  <si>
    <t xml:space="preserve">janu vasti; knee oil therapy; ayurvedic knee therapy</t>
  </si>
  <si>
    <t xml:space="preserve">Janu Vasti (Janu Basti) in Calgary | Knee Oil Therapy</t>
  </si>
  <si>
    <t xml:space="preserve">Janu Vasti: Warm Oil Therapy for the Knees</t>
  </si>
  <si>
    <t xml:space="preserve">Low search volume, but no local page exists. Traffic will mostly arrive from the knee concern page.</t>
  </si>
  <si>
    <t xml:space="preserve">Greeva Vasti</t>
  </si>
  <si>
    <t xml:space="preserve">/therapies/greeva-vasti/</t>
  </si>
  <si>
    <t xml:space="preserve">greeva basti calgary</t>
  </si>
  <si>
    <t xml:space="preserve">griva basti; neck oil therapy; ayurvedic neck therapy</t>
  </si>
  <si>
    <t xml:space="preserve">Greeva Vasti (Greeva Basti) in Calgary | Neck Therapy</t>
  </si>
  <si>
    <t xml:space="preserve">Greeva Vasti: Warm Oil Therapy for the Neck</t>
  </si>
  <si>
    <t xml:space="preserve">Target desk workers. Link from the neck and shoulder concern page.</t>
  </si>
  <si>
    <t xml:space="preserve">Nasya</t>
  </si>
  <si>
    <t xml:space="preserve">/therapies/nasya/</t>
  </si>
  <si>
    <t xml:space="preserve">nasya treatment calgary</t>
  </si>
  <si>
    <t xml:space="preserve">nasya therapy; ayurvedic sinus therapy; nasal oil therapy</t>
  </si>
  <si>
    <t xml:space="preserve">Nasya Therapy in Calgary | Ayurvedic Nasal Oil Therapy</t>
  </si>
  <si>
    <t xml:space="preserve">Nasya: Ayurvedic Nasal Oil Therapy</t>
  </si>
  <si>
    <t xml:space="preserve">LEGAL CHECK: Alberta restricts procedures beyond the point where the nasal passages narrow. Confirm how this may be performed and described.</t>
  </si>
  <si>
    <t xml:space="preserve">Ayurvedic massage (overview)</t>
  </si>
  <si>
    <t xml:space="preserve">/therapies/ayurvedic-massage-calgary/</t>
  </si>
  <si>
    <t xml:space="preserve">ayurvedic massage calgary</t>
  </si>
  <si>
    <t xml:space="preserve">indian massage calgary; ayurvedic massage therapist; ayurvedic rmt</t>
  </si>
  <si>
    <t xml:space="preserve">Ayurvedic Massage in Calgary | RMT with BAMS Training</t>
  </si>
  <si>
    <t xml:space="preserve">Ayurvedic Massage in Calgary</t>
  </si>
  <si>
    <t xml:space="preserve">A physio clinic ranks first. Use this page to compare the massage types and route to each therapy.</t>
  </si>
  <si>
    <t xml:space="preserve">Skin care therapies</t>
  </si>
  <si>
    <t xml:space="preserve">/therapies/ayurvedic-skin-care/</t>
  </si>
  <si>
    <t xml:space="preserve">ayurvedic skin treatment calgary</t>
  </si>
  <si>
    <t xml:space="preserve">herbal skin care calgary; lepam; natural skin therapy</t>
  </si>
  <si>
    <t xml:space="preserve">Ayurvedic Skin Care Treatments in Calgary</t>
  </si>
  <si>
    <t xml:space="preserve">Ayurvedic Skin Care Therapies</t>
  </si>
  <si>
    <t xml:space="preserve">Frame as skin care and comfort. Do not claim to treat eczema or psoriasis.</t>
  </si>
  <si>
    <t xml:space="preserve">Panchakarma</t>
  </si>
  <si>
    <t xml:space="preserve">/therapies/panchakarma/</t>
  </si>
  <si>
    <t xml:space="preserve">panchakarma calgary</t>
  </si>
  <si>
    <t xml:space="preserve">panchakarma canada; ayurvedic detox calgary; panchakarma program</t>
  </si>
  <si>
    <t xml:space="preserve">Panchakarma in Calgary | Ayurvedic Cleansing Program</t>
  </si>
  <si>
    <t xml:space="preserve">Panchakarma in Calgary</t>
  </si>
  <si>
    <t xml:space="preserve">LEGAL CHECK: describe only the components that can lawfully be offered (external therapies, diet, routine). Say what is not included.</t>
  </si>
  <si>
    <t xml:space="preserve">Shiro Abhyanga</t>
  </si>
  <si>
    <t xml:space="preserve">/therapies/indian-head-massage/</t>
  </si>
  <si>
    <t xml:space="preserve">indian head massage calgary</t>
  </si>
  <si>
    <t xml:space="preserve">shiro abhyanga; ayurvedic head massage; scalp oil massage</t>
  </si>
  <si>
    <t xml:space="preserve">Indian Head Massage in Calgary | Shiro Abhyanga</t>
  </si>
  <si>
    <t xml:space="preserve">Shiro Abhyanga: Indian Head Massage</t>
  </si>
  <si>
    <t xml:space="preserve">'Indian head massage' is the term most people search.</t>
  </si>
  <si>
    <t xml:space="preserve">Pada Abhyanga</t>
  </si>
  <si>
    <t xml:space="preserve">/therapies/ayurvedic-foot-massage/</t>
  </si>
  <si>
    <t xml:space="preserve">ayurvedic foot massage calgary</t>
  </si>
  <si>
    <t xml:space="preserve">padabhyanga; foot oil massage; indian foot massage</t>
  </si>
  <si>
    <t xml:space="preserve">Ayurvedic Foot Massage in Calgary | Pada Abhyanga</t>
  </si>
  <si>
    <t xml:space="preserve">Pada Abhyanga: Ayurvedic Foot Massage</t>
  </si>
  <si>
    <t xml:space="preserve">The NW spa has a page for this.</t>
  </si>
  <si>
    <t xml:space="preserve">Udvartana</t>
  </si>
  <si>
    <t xml:space="preserve">/therapies/udvartana/</t>
  </si>
  <si>
    <t xml:space="preserve">udvartana massage calgary</t>
  </si>
  <si>
    <t xml:space="preserve">udwarthanam; herbal powder massage; dry powder massage</t>
  </si>
  <si>
    <t xml:space="preserve">Udvartana in Calgary | Herbal Powder Massage</t>
  </si>
  <si>
    <t xml:space="preserve">Udvartana: Herbal Powder Massage</t>
  </si>
  <si>
    <t xml:space="preserve">Avoid weight-loss and cellulite claims.</t>
  </si>
  <si>
    <t xml:space="preserve">Kizhi</t>
  </si>
  <si>
    <t xml:space="preserve">/therapies/kizhi-potli-massage/</t>
  </si>
  <si>
    <t xml:space="preserve">potli massage calgary</t>
  </si>
  <si>
    <t xml:space="preserve">kizhi; elakizhi; herbal poultice massage; herbal bolus massage</t>
  </si>
  <si>
    <t xml:space="preserve">Kizhi (Potli) Herbal Poultice Massage in Calgary</t>
  </si>
  <si>
    <t xml:space="preserve">Kizhi: Herbal Poultice Massage</t>
  </si>
  <si>
    <t xml:space="preserve">Cover Elakizhi (leaf bundle) as a section rather than a separate page.</t>
  </si>
  <si>
    <t xml:space="preserve">Pizhichil</t>
  </si>
  <si>
    <t xml:space="preserve">/therapies/pizhichil/</t>
  </si>
  <si>
    <t xml:space="preserve">pizhichil calgary</t>
  </si>
  <si>
    <t xml:space="preserve">pizhichil treatment; warm oil bath therapy; kerala oil therapy</t>
  </si>
  <si>
    <t xml:space="preserve">Pizhichil in Calgary | Warm Oil Bath Therapy</t>
  </si>
  <si>
    <t xml:space="preserve">Pizhichil: Warm Oil Bath Therapy</t>
  </si>
  <si>
    <t xml:space="preserve">A competitor lists neurological disorders and rheumatoid arthritis for this therapy. Make no such claims.</t>
  </si>
  <si>
    <t xml:space="preserve">Swedana</t>
  </si>
  <si>
    <t xml:space="preserve">/therapies/swedana-herbal-steam/</t>
  </si>
  <si>
    <t xml:space="preserve">herbal steam therapy calgary</t>
  </si>
  <si>
    <t xml:space="preserve">swedana; ayurvedic steam bath; steam after massage</t>
  </si>
  <si>
    <t xml:space="preserve">Swedana Herbal Steam Therapy in Calgary</t>
  </si>
  <si>
    <t xml:space="preserve">Swedana: Herbal Steam Therapy</t>
  </si>
  <si>
    <t xml:space="preserve">Usually sold as an add-on; show it that way on the pricing page.</t>
  </si>
  <si>
    <t xml:space="preserve">Marma therapy</t>
  </si>
  <si>
    <t xml:space="preserve">/therapies/marma-therapy/</t>
  </si>
  <si>
    <t xml:space="preserve">marma therapy calgary</t>
  </si>
  <si>
    <t xml:space="preserve">marma point massage; ayurvedic pressure points; marma chikitsa</t>
  </si>
  <si>
    <t xml:space="preserve">Marma Therapy in Calgary | Ayurvedic Pressure Points</t>
  </si>
  <si>
    <t xml:space="preserve">Marma Therapy</t>
  </si>
  <si>
    <t xml:space="preserve">Ayurkulam has a page for this.</t>
  </si>
  <si>
    <t xml:space="preserve">Ayurvedic facial</t>
  </si>
  <si>
    <t xml:space="preserve">/therapies/ayurvedic-facial/</t>
  </si>
  <si>
    <t xml:space="preserve">ayurvedic facial calgary</t>
  </si>
  <si>
    <t xml:space="preserve">mukha lepam; herbal facial; natural facial calgary</t>
  </si>
  <si>
    <t xml:space="preserve">Ayurvedic Facial in Calgary | Mukha Lepam</t>
  </si>
  <si>
    <t xml:space="preserve">Mukha Lepam: Ayurvedic Herbal Facial</t>
  </si>
  <si>
    <t xml:space="preserve">Spas compete here. Emphasise herbal preparation and practitioner training.</t>
  </si>
  <si>
    <t xml:space="preserve">Hair and scalp therapy</t>
  </si>
  <si>
    <t xml:space="preserve">/therapies/ayurvedic-hair-scalp-therapy/</t>
  </si>
  <si>
    <t xml:space="preserve">ayurvedic hair treatment calgary</t>
  </si>
  <si>
    <t xml:space="preserve">shiro lepa; scalp oil therapy; hair oil massage</t>
  </si>
  <si>
    <t xml:space="preserve">Ayurvedic Hair &amp; Scalp Therapy in Calgary</t>
  </si>
  <si>
    <t xml:space="preserve">Ayurvedic Hair and Scalp Therapy</t>
  </si>
  <si>
    <t xml:space="preserve">Do not promise regrowth.</t>
  </si>
  <si>
    <t xml:space="preserve">Postnatal massage</t>
  </si>
  <si>
    <t xml:space="preserve">/therapies/postnatal-ayurvedic-massage/</t>
  </si>
  <si>
    <t xml:space="preserve">postnatal ayurvedic massage calgary</t>
  </si>
  <si>
    <t xml:space="preserve">postpartum massage calgary; ayurvedic postpartum care; indian postnatal massage</t>
  </si>
  <si>
    <t xml:space="preserve">Postnatal Ayurvedic Massage in Calgary | Postpartum Care</t>
  </si>
  <si>
    <t xml:space="preserve">Postnatal Ayurvedic Massage</t>
  </si>
  <si>
    <t xml:space="preserve">Strong fit with South Asian postpartum traditions. Mention home visits if offered.</t>
  </si>
  <si>
    <t xml:space="preserve">Massage therapy</t>
  </si>
  <si>
    <t xml:space="preserve">Massage therapy hub</t>
  </si>
  <si>
    <t xml:space="preserve">/massage-therapy/</t>
  </si>
  <si>
    <t xml:space="preserve">registered massage therapist calgary</t>
  </si>
  <si>
    <t xml:space="preserve">rmt calgary; massage therapy direct billing; therapeutic massage calgary</t>
  </si>
  <si>
    <t xml:space="preserve">Registered Massage Therapy in Calgary | Direct Billing</t>
  </si>
  <si>
    <t xml:space="preserve">Registered Massage Therapy in Calgary</t>
  </si>
  <si>
    <t xml:space="preserve">Very competitive. This section mainly serves insured clients and supports the Ayurvedic pages.</t>
  </si>
  <si>
    <t xml:space="preserve">Deep tissue massage</t>
  </si>
  <si>
    <t xml:space="preserve">/massage-therapy/deep-tissue-massage/</t>
  </si>
  <si>
    <t xml:space="preserve">deep tissue massage calgary</t>
  </si>
  <si>
    <t xml:space="preserve">therapeutic massage calgary; muscle tension massage; rmt deep tissue</t>
  </si>
  <si>
    <t xml:space="preserve">Deep Tissue Massage in Calgary | RMT</t>
  </si>
  <si>
    <t xml:space="preserve">Deep Tissue Massage</t>
  </si>
  <si>
    <t xml:space="preserve">Include only if offered.</t>
  </si>
  <si>
    <t xml:space="preserve">Reflexology</t>
  </si>
  <si>
    <t xml:space="preserve">/massage-therapy/reflexology/</t>
  </si>
  <si>
    <t xml:space="preserve">reflexology calgary</t>
  </si>
  <si>
    <t xml:space="preserve">foot reflexology; reflexology near me; reflexology massage</t>
  </si>
  <si>
    <t xml:space="preserve">Reflexology in Calgary | Ayurvedachalam</t>
  </si>
  <si>
    <t xml:space="preserve">Check how benefit plans treat reflexology; some cover it separately from massage.</t>
  </si>
  <si>
    <t xml:space="preserve">Mobile massage</t>
  </si>
  <si>
    <t xml:space="preserve">/massage-therapy/mobile-massage-calgary/</t>
  </si>
  <si>
    <t xml:space="preserve">mobile massage calgary</t>
  </si>
  <si>
    <t xml:space="preserve">in-home massage calgary; mobile rmt; mobile ayurvedic massage</t>
  </si>
  <si>
    <t xml:space="preserve">Mobile Massage in Calgary | In-Home RMT</t>
  </si>
  <si>
    <t xml:space="preserve">Mobile Massage in Calgary</t>
  </si>
  <si>
    <t xml:space="preserve">Include only if home visits are offered. One competitor charges $125 for 60 minutes.</t>
  </si>
  <si>
    <t xml:space="preserve">Spiritual healing</t>
  </si>
  <si>
    <t xml:space="preserve">Spiritual healing hub</t>
  </si>
  <si>
    <t xml:space="preserve">/spiritual-healing/</t>
  </si>
  <si>
    <t xml:space="preserve">spiritual healing calgary</t>
  </si>
  <si>
    <t xml:space="preserve">spiritual healer calgary; holistic healer calgary; healing sessions calgary</t>
  </si>
  <si>
    <t xml:space="preserve">Spiritual Healing in Calgary &amp; Online | Certified Healer</t>
  </si>
  <si>
    <t xml:space="preserve">Spiritual Healing in Calgary and Online</t>
  </si>
  <si>
    <t xml:space="preserve">Ranking now: Reiki centres, a spiritualist church, counsellors. State that it complements, and does not replace, medical care.</t>
  </si>
  <si>
    <t xml:space="preserve">Energy healing session</t>
  </si>
  <si>
    <t xml:space="preserve">/spiritual-healing/energy-healing-session/</t>
  </si>
  <si>
    <t xml:space="preserve">energy healing calgary</t>
  </si>
  <si>
    <t xml:space="preserve">energy healing session; hands-on healing; spiritual energy healing</t>
  </si>
  <si>
    <t xml:space="preserve">Energy Healing Sessions in Calgary | Certified Healer</t>
  </si>
  <si>
    <t xml:space="preserve">Energy Healing Sessions</t>
  </si>
  <si>
    <t xml:space="preserve">The bookable service page: length, price, what happens.</t>
  </si>
  <si>
    <t xml:space="preserve">Distance healing</t>
  </si>
  <si>
    <t xml:space="preserve">/spiritual-healing/distance-healing/</t>
  </si>
  <si>
    <t xml:space="preserve">distance healing canada</t>
  </si>
  <si>
    <t xml:space="preserve">online spiritual healing; remote energy healing; virtual healing session</t>
  </si>
  <si>
    <t xml:space="preserve">Distance Healing Sessions Online | Across Canada</t>
  </si>
  <si>
    <t xml:space="preserve">Distance Healing Sessions</t>
  </si>
  <si>
    <t xml:space="preserve">Extends reach beyond Calgary alongside virtual consultations.</t>
  </si>
  <si>
    <t xml:space="preserve">Chakra balancing</t>
  </si>
  <si>
    <t xml:space="preserve">/spiritual-healing/chakra-balancing/</t>
  </si>
  <si>
    <t xml:space="preserve">chakra balancing calgary</t>
  </si>
  <si>
    <t xml:space="preserve">chakra healing; chakra alignment session; chakra therapy</t>
  </si>
  <si>
    <t xml:space="preserve">Chakra Balancing in Calgary | Ayurvedachalam</t>
  </si>
  <si>
    <t xml:space="preserve">Chakra Balancing</t>
  </si>
  <si>
    <t xml:space="preserve">Include only if offered. Ayurkulam and one wellness centre have pages.</t>
  </si>
  <si>
    <t xml:space="preserve">What is spiritual healing</t>
  </si>
  <si>
    <t xml:space="preserve">/spiritual-healing/what-is-spiritual-healing/</t>
  </si>
  <si>
    <t xml:space="preserve">what is spiritual healing</t>
  </si>
  <si>
    <t xml:space="preserve">how spiritual healing works; what happens in a healing session; is spiritual healing safe</t>
  </si>
  <si>
    <t xml:space="preserve">What Is Spiritual Healing? What Happens in a Session</t>
  </si>
  <si>
    <t xml:space="preserve">What Is Spiritual Healing?</t>
  </si>
  <si>
    <t xml:space="preserve">Plain-language explainer for first-time clients.</t>
  </si>
  <si>
    <t xml:space="preserve">ASHA certification</t>
  </si>
  <si>
    <t xml:space="preserve">/spiritual-healing/certified-spiritual-healer-alberta/</t>
  </si>
  <si>
    <t xml:space="preserve">certified spiritual healer alberta</t>
  </si>
  <si>
    <t xml:space="preserve">association of spiritual healers of alberta; asha healer calgary; accredited healer</t>
  </si>
  <si>
    <t xml:space="preserve">Certified Spiritual Healer in Alberta | ASHA Member</t>
  </si>
  <si>
    <t xml:space="preserve">Certified by the Association of Spiritual Healers of Alberta</t>
  </si>
  <si>
    <t xml:space="preserve">Explains the credential and code of conduct. Builds trust.</t>
  </si>
  <si>
    <t xml:space="preserve">Stress and emotional balance</t>
  </si>
  <si>
    <t xml:space="preserve">/spiritual-healing/stress-and-emotional-balance/</t>
  </si>
  <si>
    <t xml:space="preserve">spiritual healing for stress</t>
  </si>
  <si>
    <t xml:space="preserve">healing for emotional balance; support through life transitions; inner calm session</t>
  </si>
  <si>
    <t xml:space="preserve">Spiritual Healing for Stress and Emotional Balance</t>
  </si>
  <si>
    <t xml:space="preserve">Healing for Stress and Emotional Balance</t>
  </si>
  <si>
    <t xml:space="preserve">Not a substitute for mental health care. Add a line pointing to crisis resources.</t>
  </si>
  <si>
    <t xml:space="preserve">Ayurveda with spiritual healing</t>
  </si>
  <si>
    <t xml:space="preserve">/spiritual-healing/ayurveda-and-spiritual-healing/</t>
  </si>
  <si>
    <t xml:space="preserve">mind body spirit healing calgary</t>
  </si>
  <si>
    <t xml:space="preserve">ayurveda and energy healing; integrated wellness session; holistic healing calgary</t>
  </si>
  <si>
    <t xml:space="preserve">Ayurveda &amp; Spiritual Healing | Mind-Body-Spirit Session</t>
  </si>
  <si>
    <t xml:space="preserve">Ayurveda and Spiritual Healing Together</t>
  </si>
  <si>
    <t xml:space="preserve">Unique combination. No competitor page found.</t>
  </si>
  <si>
    <t xml:space="preserve">Concerns</t>
  </si>
  <si>
    <t xml:space="preserve">Concerns hub</t>
  </si>
  <si>
    <t xml:space="preserve">/concerns/</t>
  </si>
  <si>
    <t xml:space="preserve">ayurveda for health concerns</t>
  </si>
  <si>
    <t xml:space="preserve">what ayurveda helps with; ayurvedic approach; natural wellness support</t>
  </si>
  <si>
    <t xml:space="preserve">Wellness Concerns: How Ayurveda Can Support You</t>
  </si>
  <si>
    <t xml:space="preserve">Wellness Concerns We Support</t>
  </si>
  <si>
    <t xml:space="preserve">Every concern page states that care is complementary and that a physician should diagnose.</t>
  </si>
  <si>
    <t xml:space="preserve">Lower back pain</t>
  </si>
  <si>
    <t xml:space="preserve">/concerns/lower-back-pain/</t>
  </si>
  <si>
    <t xml:space="preserve">ayurvedic treatment for back pain</t>
  </si>
  <si>
    <t xml:space="preserve">kati basti for back pain; ayurvedic massage back pain calgary; natural back pain relief</t>
  </si>
  <si>
    <t xml:space="preserve">Informational / Commercial</t>
  </si>
  <si>
    <t xml:space="preserve">Lower Back Pain: The Ayurvedic Approach | Calgary</t>
  </si>
  <si>
    <t xml:space="preserve">Lower Back Pain: An Ayurvedic Approach</t>
  </si>
  <si>
    <t xml:space="preserve">Links to Kati Vasti and Abhyanga. The keyword is the phrase people search; body copy says 'support' and 'comfort'.</t>
  </si>
  <si>
    <t xml:space="preserve">Knee and joint discomfort</t>
  </si>
  <si>
    <t xml:space="preserve">/concerns/knee-and-joint-discomfort/</t>
  </si>
  <si>
    <t xml:space="preserve">ayurvedic treatment for knee pain</t>
  </si>
  <si>
    <t xml:space="preserve">janu basti for knees; ayurveda joint pain; natural knee pain relief</t>
  </si>
  <si>
    <t xml:space="preserve">Knee and Joint Discomfort: The Ayurvedic Approach</t>
  </si>
  <si>
    <t xml:space="preserve">Knee and Joint Discomfort: An Ayurvedic Approach</t>
  </si>
  <si>
    <t xml:space="preserve">Do not write 'treats arthritis'. Links to Janu Vasti.</t>
  </si>
  <si>
    <t xml:space="preserve">Neck and shoulder tension</t>
  </si>
  <si>
    <t xml:space="preserve">/concerns/neck-and-shoulder-tension/</t>
  </si>
  <si>
    <t xml:space="preserve">ayurvedic treatment for neck pain</t>
  </si>
  <si>
    <t xml:space="preserve">greeva basti for neck; desk posture tension; shoulder stiffness massage</t>
  </si>
  <si>
    <t xml:space="preserve">Neck and Shoulder Tension: The Ayurvedic Approach</t>
  </si>
  <si>
    <t xml:space="preserve">Neck and Shoulder Tension: An Ayurvedic Approach</t>
  </si>
  <si>
    <t xml:space="preserve">Links to Greeva Vasti and deep tissue massage.</t>
  </si>
  <si>
    <t xml:space="preserve">Sinus congestion</t>
  </si>
  <si>
    <t xml:space="preserve">/concerns/sinus-congestion/</t>
  </si>
  <si>
    <t xml:space="preserve">ayurvedic treatment for sinus</t>
  </si>
  <si>
    <t xml:space="preserve">nasya for sinus; natural sinus relief; sinus congestion dry air calgary</t>
  </si>
  <si>
    <t xml:space="preserve">Sinus Congestion: The Ayurvedic Approach | Calgary</t>
  </si>
  <si>
    <t xml:space="preserve">Sinus Congestion: An Ayurvedic Approach</t>
  </si>
  <si>
    <t xml:space="preserve">Results are dominated by Indian and US content sites. Win with the Calgary dry-climate angle.</t>
  </si>
  <si>
    <t xml:space="preserve">Stress relief</t>
  </si>
  <si>
    <t xml:space="preserve">/concerns/stress-relief/</t>
  </si>
  <si>
    <t xml:space="preserve">ayurveda for stress</t>
  </si>
  <si>
    <t xml:space="preserve">shirodhara for stress; natural stress relief calgary; burnout support</t>
  </si>
  <si>
    <t xml:space="preserve">Stress Relief: The Ayurvedic Approach | Calgary</t>
  </si>
  <si>
    <t xml:space="preserve">Stress Relief: An Ayurvedic Approach</t>
  </si>
  <si>
    <t xml:space="preserve">Links to Shirodhara, spiritual healing and the stress consultation.</t>
  </si>
  <si>
    <t xml:space="preserve">Sleep support</t>
  </si>
  <si>
    <t xml:space="preserve">/concerns/sleep-support/</t>
  </si>
  <si>
    <t xml:space="preserve">ayurveda for sleep</t>
  </si>
  <si>
    <t xml:space="preserve">shirodhara for sleep; natural sleep support; ayurvedic bedtime routine</t>
  </si>
  <si>
    <t xml:space="preserve">Better Sleep: The Ayurvedic Approach</t>
  </si>
  <si>
    <t xml:space="preserve">Better Sleep: An Ayurvedic Approach</t>
  </si>
  <si>
    <t xml:space="preserve">Do not write 'cures insomnia'.</t>
  </si>
  <si>
    <t xml:space="preserve">Digestion and bloating</t>
  </si>
  <si>
    <t xml:space="preserve">/concerns/digestion-and-bloating/</t>
  </si>
  <si>
    <t xml:space="preserve">ayurveda for digestion</t>
  </si>
  <si>
    <t xml:space="preserve">ayurvedic remedies for bloating; acidity; constipation; agni</t>
  </si>
  <si>
    <t xml:space="preserve">Digestion and Bloating: The Ayurvedic Approach</t>
  </si>
  <si>
    <t xml:space="preserve">Digestion and Bloating: An Ayurvedic Approach</t>
  </si>
  <si>
    <t xml:space="preserve">Cover acidity and constipation as sections here rather than separate pages.</t>
  </si>
  <si>
    <t xml:space="preserve">Seasonal allergies</t>
  </si>
  <si>
    <t xml:space="preserve">/concerns/seasonal-allergies/</t>
  </si>
  <si>
    <t xml:space="preserve">ayurveda for allergies</t>
  </si>
  <si>
    <t xml:space="preserve">seasonal allergy natural support; nasya for allergies; hay fever calgary</t>
  </si>
  <si>
    <t xml:space="preserve">Seasonal Allergies: The Ayurvedic Approach</t>
  </si>
  <si>
    <t xml:space="preserve">Seasonal Allergies: An Ayurvedic Approach</t>
  </si>
  <si>
    <t xml:space="preserve">Publish before spring.</t>
  </si>
  <si>
    <t xml:space="preserve">Dry and sensitive skin</t>
  </si>
  <si>
    <t xml:space="preserve">/concerns/dry-and-sensitive-skin/</t>
  </si>
  <si>
    <t xml:space="preserve">ayurvedic skin care for dry skin</t>
  </si>
  <si>
    <t xml:space="preserve">eczema-prone skin ayurveda; winter dry skin calgary; abhyanga for dry skin</t>
  </si>
  <si>
    <t xml:space="preserve">Dry and Sensitive Skin: The Ayurvedic Approach</t>
  </si>
  <si>
    <t xml:space="preserve">Dry and Sensitive Skin: An Ayurvedic Approach</t>
  </si>
  <si>
    <t xml:space="preserve">Ontario clinics rank for eczema and psoriasis terms. Stay with skin-care language.</t>
  </si>
  <si>
    <t xml:space="preserve">Acne-prone skin</t>
  </si>
  <si>
    <t xml:space="preserve">/concerns/acne-prone-skin/</t>
  </si>
  <si>
    <t xml:space="preserve">ayurvedic acne care</t>
  </si>
  <si>
    <t xml:space="preserve">pitta skin care; herbal skin care for acne; natural acne support</t>
  </si>
  <si>
    <t xml:space="preserve">Acne-Prone Skin: The Ayurvedic Approach</t>
  </si>
  <si>
    <t xml:space="preserve">Acne-Prone Skin: An Ayurvedic Approach</t>
  </si>
  <si>
    <t xml:space="preserve">Links to the facial and skin care therapy pages.</t>
  </si>
  <si>
    <t xml:space="preserve">Hair fall and scalp</t>
  </si>
  <si>
    <t xml:space="preserve">/concerns/hair-fall-and-scalp/</t>
  </si>
  <si>
    <t xml:space="preserve">ayurvedic treatment for hair fall</t>
  </si>
  <si>
    <t xml:space="preserve">hair thinning ayurveda; scalp oil care; bhringraj oil</t>
  </si>
  <si>
    <t xml:space="preserve">Hair Fall and Scalp Care: The Ayurvedic Approach</t>
  </si>
  <si>
    <t xml:space="preserve">Hair Fall and Scalp Care: An Ayurvedic Approach</t>
  </si>
  <si>
    <t xml:space="preserve">Headaches and tension</t>
  </si>
  <si>
    <t xml:space="preserve">/concerns/headaches-and-tension/</t>
  </si>
  <si>
    <t xml:space="preserve">ayurveda for headaches</t>
  </si>
  <si>
    <t xml:space="preserve">tension headache natural relief; shirodhara for headaches; head massage</t>
  </si>
  <si>
    <t xml:space="preserve">Headaches and Tension: The Ayurvedic Approach</t>
  </si>
  <si>
    <t xml:space="preserve">Headaches and Tension: An Ayurvedic Approach</t>
  </si>
  <si>
    <t xml:space="preserve">Advise seeing a physician for new or severe headaches.</t>
  </si>
  <si>
    <t xml:space="preserve">Menopause support</t>
  </si>
  <si>
    <t xml:space="preserve">/concerns/menopause-support/</t>
  </si>
  <si>
    <t xml:space="preserve">ayurveda for menopause</t>
  </si>
  <si>
    <t xml:space="preserve">perimenopause natural support; hot flashes ayurveda; hormonal transition</t>
  </si>
  <si>
    <t xml:space="preserve">Menopause Support: The Ayurvedic Approach</t>
  </si>
  <si>
    <t xml:space="preserve">Menopause Support: An Ayurvedic Approach</t>
  </si>
  <si>
    <t xml:space="preserve">Links to the women's wellness consultation.</t>
  </si>
  <si>
    <t xml:space="preserve">Low energy and fatigue</t>
  </si>
  <si>
    <t xml:space="preserve">/concerns/low-energy-and-fatigue/</t>
  </si>
  <si>
    <t xml:space="preserve">ayurveda for fatigue</t>
  </si>
  <si>
    <t xml:space="preserve">low energy natural support; rasayana; burnout recovery</t>
  </si>
  <si>
    <t xml:space="preserve">Low Energy and Fatigue: The Ayurvedic Approach</t>
  </si>
  <si>
    <t xml:space="preserve">Low Energy and Fatigue: An Ayurvedic Approach</t>
  </si>
  <si>
    <t xml:space="preserve">Advise seeing a physician to rule out medical causes.</t>
  </si>
  <si>
    <t xml:space="preserve">Calgary</t>
  </si>
  <si>
    <t xml:space="preserve">Calgary clinic</t>
  </si>
  <si>
    <t xml:space="preserve">/calgary/</t>
  </si>
  <si>
    <t xml:space="preserve">ayurvedic clinic calgary</t>
  </si>
  <si>
    <t xml:space="preserve">ayurveda near me; ayurveda centre calgary; ayurvedic wellness centre calgary</t>
  </si>
  <si>
    <t xml:space="preserve">Ayurvedic Clinic in Calgary | Location, Hours &amp; Parking</t>
  </si>
  <si>
    <t xml:space="preserve">Ayurvedachalam in Calgary</t>
  </si>
  <si>
    <t xml:space="preserve">Embed a map. Add LocalBusiness schema and photos.</t>
  </si>
  <si>
    <t xml:space="preserve">SW Calgary</t>
  </si>
  <si>
    <t xml:space="preserve">/calgary/sw/</t>
  </si>
  <si>
    <t xml:space="preserve">ayurveda sw calgary</t>
  </si>
  <si>
    <t xml:space="preserve">ayurvedic massage sw calgary; shirodhara sw calgary</t>
  </si>
  <si>
    <t xml:space="preserve">Ayurveda in SW Calgary | Therapies &amp; Consultations</t>
  </si>
  <si>
    <t xml:space="preserve">Ayurveda in Southwest Calgary</t>
  </si>
  <si>
    <t xml:space="preserve">Publish area pages only with unique content (directions, travel time, landmarks). Thin copies risk a doorway-page penalty.</t>
  </si>
  <si>
    <t xml:space="preserve">NW Calgary</t>
  </si>
  <si>
    <t xml:space="preserve">/calgary/nw/</t>
  </si>
  <si>
    <t xml:space="preserve">ayurveda nw calgary</t>
  </si>
  <si>
    <t xml:space="preserve">ayurvedic massage nw calgary; shirodhara nw calgary</t>
  </si>
  <si>
    <t xml:space="preserve">Ayurveda in NW Calgary | Therapies &amp; Consultations</t>
  </si>
  <si>
    <t xml:space="preserve">Ayurveda in Northwest Calgary</t>
  </si>
  <si>
    <t xml:space="preserve">The spa that ranks for Shirodhara is in Sage Hill, NW.</t>
  </si>
  <si>
    <t xml:space="preserve">NE Calgary</t>
  </si>
  <si>
    <t xml:space="preserve">/calgary/ne/</t>
  </si>
  <si>
    <t xml:space="preserve">ayurveda ne calgary</t>
  </si>
  <si>
    <t xml:space="preserve">ayurvedic clinic ne calgary; ayurvedic massage ne calgary</t>
  </si>
  <si>
    <t xml:space="preserve">Ayurveda in NE Calgary | Therapies &amp; Consultations</t>
  </si>
  <si>
    <t xml:space="preserve">Ayurveda in Northeast Calgary</t>
  </si>
  <si>
    <t xml:space="preserve">Healwell is based in NE Calgary.</t>
  </si>
  <si>
    <t xml:space="preserve">SE Calgary</t>
  </si>
  <si>
    <t xml:space="preserve">/calgary/se/</t>
  </si>
  <si>
    <t xml:space="preserve">ayurveda se calgary</t>
  </si>
  <si>
    <t xml:space="preserve">ayurvedic massage se calgary; shirodhara se calgary</t>
  </si>
  <si>
    <t xml:space="preserve">Ayurveda in SE Calgary | Therapies &amp; Consultations</t>
  </si>
  <si>
    <t xml:space="preserve">Ayurveda in Southeast Calgary</t>
  </si>
  <si>
    <t xml:space="preserve">Indian Ayurvedic Massage is based in SE Calgary.</t>
  </si>
  <si>
    <t xml:space="preserve">Online</t>
  </si>
  <si>
    <t xml:space="preserve">Online in Alberta</t>
  </si>
  <si>
    <t xml:space="preserve">/online/alberta/</t>
  </si>
  <si>
    <t xml:space="preserve">online ayurvedic consultation alberta</t>
  </si>
  <si>
    <t xml:space="preserve">ayurveda edmonton; ayurveda red deer; ayurveda lethbridge; ayurveda airdrie</t>
  </si>
  <si>
    <t xml:space="preserve">Online Ayurvedic Consultation in Alberta</t>
  </si>
  <si>
    <t xml:space="preserve">Online Ayurveda Across Alberta</t>
  </si>
  <si>
    <t xml:space="preserve">No provider is positioned for Alberta outside Calgary. Mention the option to visit Calgary for therapies.</t>
  </si>
  <si>
    <t xml:space="preserve">Online in British Columbia</t>
  </si>
  <si>
    <t xml:space="preserve">/online/british-columbia/</t>
  </si>
  <si>
    <t xml:space="preserve">online ayurvedic consultation bc</t>
  </si>
  <si>
    <t xml:space="preserve">ayurveda vancouver online; ayurveda surrey; ayurveda victoria</t>
  </si>
  <si>
    <t xml:space="preserve">Online Ayurvedic Consultation in British Columbia</t>
  </si>
  <si>
    <t xml:space="preserve">Online Ayurveda Across British Columbia</t>
  </si>
  <si>
    <t xml:space="preserve">Ayurveda Vancouver and Ayush for Life (Surrey) are established.</t>
  </si>
  <si>
    <t xml:space="preserve">Online in Ontario</t>
  </si>
  <si>
    <t xml:space="preserve">/online/ontario/</t>
  </si>
  <si>
    <t xml:space="preserve">online ayurvedic consultation ontario</t>
  </si>
  <si>
    <t xml:space="preserve">ayurveda toronto online; ayurveda brampton; ayurveda mississauga</t>
  </si>
  <si>
    <t xml:space="preserve">Online Ayurvedic Consultation in Ontario</t>
  </si>
  <si>
    <t xml:space="preserve">Online Ayurveda Across Ontario</t>
  </si>
  <si>
    <t xml:space="preserve">The most contested province. Lower priority.</t>
  </si>
  <si>
    <t xml:space="preserve">How online consultations work</t>
  </si>
  <si>
    <t xml:space="preserve">/online/how-it-works/</t>
  </si>
  <si>
    <t xml:space="preserve">how online ayurvedic consultation works</t>
  </si>
  <si>
    <t xml:space="preserve">virtual ayurveda appointment; video consultation; time zones; what you need</t>
  </si>
  <si>
    <t xml:space="preserve">How Online Ayurvedic Consultations Work</t>
  </si>
  <si>
    <t xml:space="preserve">How Online Consultations Work</t>
  </si>
  <si>
    <t xml:space="preserve">Covers platform, time zones, intake form, and how herb recommendations are fulfilled.</t>
  </si>
  <si>
    <t xml:space="preserve">Learn</t>
  </si>
  <si>
    <t xml:space="preserve">Learn hub</t>
  </si>
  <si>
    <t xml:space="preserve">/learn/</t>
  </si>
  <si>
    <t xml:space="preserve">ayurveda guides</t>
  </si>
  <si>
    <t xml:space="preserve">learn ayurveda; ayurveda articles canada</t>
  </si>
  <si>
    <t xml:space="preserve">Learn Ayurveda | Guides from a BAMS Practitioner</t>
  </si>
  <si>
    <t xml:space="preserve">Learn Ayurveda</t>
  </si>
  <si>
    <t xml:space="preserve">Each guide carries the author's name, credentials and review date.</t>
  </si>
  <si>
    <t xml:space="preserve">A</t>
  </si>
  <si>
    <t xml:space="preserve">What is Ayurveda</t>
  </si>
  <si>
    <t xml:space="preserve">/learn/what-is-ayurveda/</t>
  </si>
  <si>
    <t xml:space="preserve">what is ayurveda</t>
  </si>
  <si>
    <t xml:space="preserve">ayurveda meaning; how ayurveda works; ayurvedic medicine explained</t>
  </si>
  <si>
    <t xml:space="preserve">What Is Ayurveda? A Plain-Language Guide</t>
  </si>
  <si>
    <t xml:space="preserve">What Is Ayurveda?</t>
  </si>
  <si>
    <t xml:space="preserve">Article pipeline, queue item A02 (tasks.md section 8). Hard to rank nationally; needed as the base page that others link to.</t>
  </si>
  <si>
    <t xml:space="preserve">The three doshas</t>
  </si>
  <si>
    <t xml:space="preserve">/learn/vata-pitta-kapha/</t>
  </si>
  <si>
    <t xml:space="preserve">vata pitta kapha</t>
  </si>
  <si>
    <t xml:space="preserve">three doshas explained; dosha types; ayurvedic body types</t>
  </si>
  <si>
    <t xml:space="preserve">Vata, Pitta, Kapha: The Three Doshas Explained</t>
  </si>
  <si>
    <t xml:space="preserve">Vata, Pitta and Kapha: The Three Doshas</t>
  </si>
  <si>
    <t xml:space="preserve">Article pipeline, queue item A05 (tasks.md section 8). Links to each dosha page and the quiz.</t>
  </si>
  <si>
    <t xml:space="preserve">Vata dosha</t>
  </si>
  <si>
    <t xml:space="preserve">/learn/vata-dosha/</t>
  </si>
  <si>
    <t xml:space="preserve">vata dosha</t>
  </si>
  <si>
    <t xml:space="preserve">vata diet; vata imbalance signs; vata routine</t>
  </si>
  <si>
    <t xml:space="preserve">Vata Dosha: Signs, Diet and Daily Routine</t>
  </si>
  <si>
    <t xml:space="preserve">Article pipeline, queue item A08 (tasks.md section 8). Tie to Calgary's cold, dry climate.</t>
  </si>
  <si>
    <t xml:space="preserve">Pitta dosha</t>
  </si>
  <si>
    <t xml:space="preserve">/learn/pitta-dosha/</t>
  </si>
  <si>
    <t xml:space="preserve">pitta dosha</t>
  </si>
  <si>
    <t xml:space="preserve">pitta diet; pitta imbalance signs; pitta routine</t>
  </si>
  <si>
    <t xml:space="preserve">Pitta Dosha: Signs, Diet and Daily Routine</t>
  </si>
  <si>
    <t xml:space="preserve">Article pipeline, queue item A11 (tasks.md section 8).</t>
  </si>
  <si>
    <t xml:space="preserve">Kapha dosha</t>
  </si>
  <si>
    <t xml:space="preserve">/learn/kapha-dosha/</t>
  </si>
  <si>
    <t xml:space="preserve">kapha dosha</t>
  </si>
  <si>
    <t xml:space="preserve">kapha diet; kapha imbalance signs; kapha routine</t>
  </si>
  <si>
    <t xml:space="preserve">Kapha Dosha: Signs, Diet and Daily Routine</t>
  </si>
  <si>
    <t xml:space="preserve">Article pipeline, queue item A14 (tasks.md section 8).</t>
  </si>
  <si>
    <t xml:space="preserve">Dosha quiz</t>
  </si>
  <si>
    <t xml:space="preserve">/learn/dosha-quiz/</t>
  </si>
  <si>
    <t xml:space="preserve">dosha quiz</t>
  </si>
  <si>
    <t xml:space="preserve">what is my dosha; ayurveda body type test; prakriti quiz</t>
  </si>
  <si>
    <t xml:space="preserve">Dosha Quiz: Find Your Ayurvedic Body Type</t>
  </si>
  <si>
    <t xml:space="preserve">Interactive tool page, built by hand in Wave 3. Lead magnet. Collect emails only with express consent (Canada's anti-spam law).</t>
  </si>
  <si>
    <t xml:space="preserve">What is BAMS</t>
  </si>
  <si>
    <t xml:space="preserve">/learn/what-is-bams/</t>
  </si>
  <si>
    <t xml:space="preserve">what is bams</t>
  </si>
  <si>
    <t xml:space="preserve">bachelor of ayurvedic medicine and surgery; bams in canada; ayurvedic practitioner qualifications</t>
  </si>
  <si>
    <t xml:space="preserve">What Is a BAMS Degree? Ayurvedic Training Explained</t>
  </si>
  <si>
    <t xml:space="preserve">What Is a BAMS Degree?</t>
  </si>
  <si>
    <t xml:space="preserve">Article pipeline, queue item A03 (tasks.md section 8). Supports credibility and explains why the title 'Dr.' is not used in Alberta.</t>
  </si>
  <si>
    <t xml:space="preserve">Is Ayurveda regulated in Canada</t>
  </si>
  <si>
    <t xml:space="preserve">/learn/is-ayurveda-regulated-in-canada/</t>
  </si>
  <si>
    <t xml:space="preserve">is ayurveda regulated in canada</t>
  </si>
  <si>
    <t xml:space="preserve">is ayurveda legal in canada; ayurvedic practitioner licence canada; ayurveda alberta rules</t>
  </si>
  <si>
    <t xml:space="preserve">Is Ayurveda Regulated in Canada? What to Know</t>
  </si>
  <si>
    <t xml:space="preserve">Is Ayurveda Regulated in Canada?</t>
  </si>
  <si>
    <t xml:space="preserve">Cornerstone article, written before launch. No competitor answers this. A candid page builds trust and attracts links.</t>
  </si>
  <si>
    <t xml:space="preserve">Ayurveda vs naturopathy</t>
  </si>
  <si>
    <t xml:space="preserve">/learn/ayurveda-vs-naturopathy/</t>
  </si>
  <si>
    <t xml:space="preserve">ayurveda vs naturopathy</t>
  </si>
  <si>
    <t xml:space="preserve">ayurvedic practitioner vs naturopath; difference; which to choose</t>
  </si>
  <si>
    <t xml:space="preserve">Ayurveda vs Naturopathy: What Is the Difference?</t>
  </si>
  <si>
    <t xml:space="preserve">Ayurveda vs Naturopathy</t>
  </si>
  <si>
    <t xml:space="preserve">Article pipeline, queue item A06 (tasks.md section 8). 'Naturopath' is a protected title in Alberta; describe the difference accurately.</t>
  </si>
  <si>
    <t xml:space="preserve">Abhyanga benefits</t>
  </si>
  <si>
    <t xml:space="preserve">/learn/abhyanga-benefits/</t>
  </si>
  <si>
    <t xml:space="preserve">abhyanga benefits</t>
  </si>
  <si>
    <t xml:space="preserve">self abhyanga how to; oil massage benefits; best oil for abhyanga</t>
  </si>
  <si>
    <t xml:space="preserve">Abhyanga: Benefits and How to Do It at Home</t>
  </si>
  <si>
    <t xml:space="preserve">Abhyanga: Benefits and Self-Massage at Home</t>
  </si>
  <si>
    <t xml:space="preserve">Article pipeline, queue item A01 (tasks.md section 8). Links to the Abhyanga therapy page.</t>
  </si>
  <si>
    <t xml:space="preserve">Shirodhara guide</t>
  </si>
  <si>
    <t xml:space="preserve">/learn/shirodhara-benefits/</t>
  </si>
  <si>
    <t xml:space="preserve">shirodhara benefits</t>
  </si>
  <si>
    <t xml:space="preserve">what is shirodhara; shirodhara side effects; how often shirodhara</t>
  </si>
  <si>
    <t xml:space="preserve">Shirodhara: Benefits, What to Expect, How Often</t>
  </si>
  <si>
    <t xml:space="preserve">Shirodhara: Benefits and What to Expect</t>
  </si>
  <si>
    <t xml:space="preserve">Cornerstone article, written before launch. Links to the Shirodhara therapy page.</t>
  </si>
  <si>
    <t xml:space="preserve">Kati Basti guide</t>
  </si>
  <si>
    <t xml:space="preserve">/learn/kati-basti-guide/</t>
  </si>
  <si>
    <t xml:space="preserve">what is kati basti</t>
  </si>
  <si>
    <t xml:space="preserve">kati vasti benefits; kati basti procedure; how many sessions</t>
  </si>
  <si>
    <t xml:space="preserve">What Is Kati Basti? Benefits, Procedure, Sessions</t>
  </si>
  <si>
    <t xml:space="preserve">What Is Kati Basti (Kati Vasti)?</t>
  </si>
  <si>
    <t xml:space="preserve">Cornerstone article, written before launch. Also explain Janu and Greeva Vasti briefly.</t>
  </si>
  <si>
    <t xml:space="preserve">Nasya oil guide</t>
  </si>
  <si>
    <t xml:space="preserve">/learn/nasya-oil-guide/</t>
  </si>
  <si>
    <t xml:space="preserve">nasya oil how to use</t>
  </si>
  <si>
    <t xml:space="preserve">nasya benefits; nasya at home; anu taila</t>
  </si>
  <si>
    <t xml:space="preserve">Nasya Oil: How to Use It Safely at Home</t>
  </si>
  <si>
    <t xml:space="preserve">Article pipeline, queue item A16 (tasks.md section 8). Include who should not use it.</t>
  </si>
  <si>
    <t xml:space="preserve">Ayurveda for Calgary winters</t>
  </si>
  <si>
    <t xml:space="preserve">/learn/ayurveda-for-calgary-winters/</t>
  </si>
  <si>
    <t xml:space="preserve">ayurveda winter routine</t>
  </si>
  <si>
    <t xml:space="preserve">dry climate vata; calgary winter dry skin; winter wellness ayurveda</t>
  </si>
  <si>
    <t xml:space="preserve">Ayurveda for Calgary Winters: A Dry-Climate Routine</t>
  </si>
  <si>
    <t xml:space="preserve">Ayurveda for Calgary Winters</t>
  </si>
  <si>
    <t xml:space="preserve">Cornerstone article, written before launch. Local angle no competitor covers. Good for local media and social sharing.</t>
  </si>
  <si>
    <t xml:space="preserve">Daily routine</t>
  </si>
  <si>
    <t xml:space="preserve">/learn/dinacharya-daily-routine/</t>
  </si>
  <si>
    <t xml:space="preserve">ayurvedic daily routine</t>
  </si>
  <si>
    <t xml:space="preserve">dinacharya; ayurvedic morning routine; tongue scraping; oil pulling</t>
  </si>
  <si>
    <t xml:space="preserve">Dinacharya: The Ayurvedic Daily Routine</t>
  </si>
  <si>
    <t xml:space="preserve">Article pipeline, queue item A17 (tasks.md section 8).</t>
  </si>
  <si>
    <t xml:space="preserve">Ayurvedic diet with Canadian foods</t>
  </si>
  <si>
    <t xml:space="preserve">/learn/ayurvedic-diet-with-canadian-foods/</t>
  </si>
  <si>
    <t xml:space="preserve">ayurvedic diet canada</t>
  </si>
  <si>
    <t xml:space="preserve">dosha diet local foods; ayurvedic grocery list; kitchari recipe</t>
  </si>
  <si>
    <t xml:space="preserve">The Ayurvedic Diet with Foods You Can Buy in Canada</t>
  </si>
  <si>
    <t xml:space="preserve">The Ayurvedic Diet with Canadian Foods</t>
  </si>
  <si>
    <t xml:space="preserve">Article pipeline, queue item A20 (tasks.md section 8). Practical and specific to Canadian grocery stores.</t>
  </si>
  <si>
    <t xml:space="preserve">Ashwagandha in Canada</t>
  </si>
  <si>
    <t xml:space="preserve">/learn/ashwagandha-in-canada/</t>
  </si>
  <si>
    <t xml:space="preserve">ashwagandha canada</t>
  </si>
  <si>
    <t xml:space="preserve">ashwagandha benefits; is ashwagandha safe; licensed ashwagandha npn</t>
  </si>
  <si>
    <t xml:space="preserve">Ashwagandha in Canada: Uses, Safety, What to Buy</t>
  </si>
  <si>
    <t xml:space="preserve">Ashwagandha in Canada: Uses and Safety</t>
  </si>
  <si>
    <t xml:space="preserve">Article pipeline, queue item A09 (tasks.md section 8). Cite Health Canada. No dosing for medical conditions.</t>
  </si>
  <si>
    <t xml:space="preserve">Are Ayurvedic herbs safe</t>
  </si>
  <si>
    <t xml:space="preserve">/learn/are-ayurvedic-herbs-safe/</t>
  </si>
  <si>
    <t xml:space="preserve">are ayurvedic herbs safe</t>
  </si>
  <si>
    <t xml:space="preserve">ayurvedic medicine heavy metals; npn number; health canada ayurvedic products</t>
  </si>
  <si>
    <t xml:space="preserve">Are Ayurvedic Herbs Safe? Heavy Metals and NPNs</t>
  </si>
  <si>
    <t xml:space="preserve">Are Ayurvedic Herbs Safe?</t>
  </si>
  <si>
    <t xml:space="preserve">Cornerstone article, written before launch. Addresses the main safety objection directly. Cite the Health Canada advisories.</t>
  </si>
  <si>
    <t xml:space="preserve">Is Ayurveda covered by insurance</t>
  </si>
  <si>
    <t xml:space="preserve">/learn/is-ayurveda-covered-by-insurance/</t>
  </si>
  <si>
    <t xml:space="preserve">is ayurveda covered by insurance canada</t>
  </si>
  <si>
    <t xml:space="preserve">ayurvedic massage insurance; health spending account ayurveda; rmt receipts</t>
  </si>
  <si>
    <t xml:space="preserve">Is Ayurveda Covered by Insurance in Canada?</t>
  </si>
  <si>
    <t xml:space="preserve">Cornerstone article, written before launch. Links to the insurance and direct billing page.</t>
  </si>
  <si>
    <t xml:space="preserve">Policies</t>
  </si>
  <si>
    <t xml:space="preserve">Privacy policy</t>
  </si>
  <si>
    <t xml:space="preserve">/privacy-policy/</t>
  </si>
  <si>
    <t xml:space="preserve">Utility</t>
  </si>
  <si>
    <t xml:space="preserve">Privacy Policy | Ayurvedachalam</t>
  </si>
  <si>
    <t xml:space="preserve">Privacy Policy</t>
  </si>
  <si>
    <t xml:space="preserve">n/a</t>
  </si>
  <si>
    <t xml:space="preserve">Client health details are sensitive personal information under Alberta's privacy law. Have the lawyer review.</t>
  </si>
  <si>
    <t xml:space="preserve">Terms of use</t>
  </si>
  <si>
    <t xml:space="preserve">/terms/</t>
  </si>
  <si>
    <t xml:space="preserve">Terms of Use | Ayurvedachalam</t>
  </si>
  <si>
    <t xml:space="preserve">Terms of Use</t>
  </si>
  <si>
    <t xml:space="preserve">Health disclaimer</t>
  </si>
  <si>
    <t xml:space="preserve">/health-disclaimer/</t>
  </si>
  <si>
    <t xml:space="preserve">Health Disclaimer | Ayurvedachalam</t>
  </si>
  <si>
    <t xml:space="preserve">Health Disclaimer</t>
  </si>
  <si>
    <t xml:space="preserve">Link from the footer of every page.</t>
  </si>
  <si>
    <t xml:space="preserve">Cancellation policy</t>
  </si>
  <si>
    <t xml:space="preserve">/cancellation-policy/</t>
  </si>
  <si>
    <t xml:space="preserve">Cancellation Policy | Ayurvedachalam</t>
  </si>
  <si>
    <t xml:space="preserve">Cancellation Policy</t>
  </si>
  <si>
    <t xml:space="preserve">Link from the booking page.</t>
  </si>
  <si>
    <t xml:space="preserve">Cluster</t>
  </si>
  <si>
    <t xml:space="preserve">Head keywords</t>
  </si>
  <si>
    <t xml:space="preserve">Variants and long-tail phrases to include in the copy</t>
  </si>
  <si>
    <t xml:space="preserve">Main target page</t>
  </si>
  <si>
    <t xml:space="preserve">Supporting pages</t>
  </si>
  <si>
    <t xml:space="preserve">Reading of the search results</t>
  </si>
  <si>
    <t xml:space="preserve">Ayurveda in Calgary</t>
  </si>
  <si>
    <t xml:space="preserve">ayurveda calgary; ayurvedic clinic calgary; ayurvedic practitioner calgary</t>
  </si>
  <si>
    <t xml:space="preserve">ayurveda near me; ayurvedic doctor calgary (as a search phrase); ayurveda centre calgary; kerala ayurveda calgary; ayurveda yyc</t>
  </si>
  <si>
    <t xml:space="preserve">/calgary/; /about/practitioner/; /consultations/ayurvedic-consultation-calgary/</t>
  </si>
  <si>
    <t xml:space="preserve">Two dedicated clinics, then unrelated clinics and directories. Reachable with a strong home page and Google Business Profile.</t>
  </si>
  <si>
    <t xml:space="preserve">Ayurvedic consultation</t>
  </si>
  <si>
    <t xml:space="preserve">ayurvedic consultation calgary; online ayurvedic consultation canada</t>
  </si>
  <si>
    <t xml:space="preserve">virtual ayurveda consultation; ayurvedic practitioner online; ayurvedic doctor online canada; nadi pariksha; pulse reading; dosha assessment</t>
  </si>
  <si>
    <t xml:space="preserve">/consultations/ and all child pages; /online/ pages</t>
  </si>
  <si>
    <t xml:space="preserve">Local is open. National is held by Ontario and BC clinics that publish free discovery calls, quizzes and shops.</t>
  </si>
  <si>
    <t xml:space="preserve">Ayurvedic massage</t>
  </si>
  <si>
    <t xml:space="preserve">ayurvedic massage calgary; abhyanga massage calgary; indian massage calgary</t>
  </si>
  <si>
    <t xml:space="preserve">abhyanga near me; warm oil massage; ayurvedic oil massage; ayurvedic rmt; indian head massage calgary; ayurvedic foot massage</t>
  </si>
  <si>
    <t xml:space="preserve">/therapies/abhyanga/; /therapies/indian-head-massage/; /massage-therapy/</t>
  </si>
  <si>
    <t xml:space="preserve">A physio clinic, an aesthetics clinic and a spa rank. None is led by an Ayurvedic practitioner.</t>
  </si>
  <si>
    <t xml:space="preserve">shirodhara calgary; shirodhara treatment</t>
  </si>
  <si>
    <t xml:space="preserve">shirodhara near me; shirodhara price; shirodhara benefits; warm oil on forehead; third eye oil therapy</t>
  </si>
  <si>
    <t xml:space="preserve">/learn/shirodhara-benefits/; /concerns/stress-relief/; /concerns/sleep-support/</t>
  </si>
  <si>
    <t xml:space="preserve">A spa ranks first with one focused page and four FAQs.</t>
  </si>
  <si>
    <t xml:space="preserve">Vasti / Basti therapies</t>
  </si>
  <si>
    <t xml:space="preserve">kati basti calgary; janu basti; greeva basti</t>
  </si>
  <si>
    <t xml:space="preserve">kati vasti; lower back oil therapy; knee oil therapy; neck oil therapy; griva basti; oil pooling therapy</t>
  </si>
  <si>
    <t xml:space="preserve">/therapies/janu-vasti/; /therapies/greeva-vasti/; /learn/kati-basti-guide/; pain concern pages</t>
  </si>
  <si>
    <t xml:space="preserve">No Calgary provider ranks. Results show an Ontario clinic and an unrelated cafe.</t>
  </si>
  <si>
    <t xml:space="preserve">Sinus and Nasya</t>
  </si>
  <si>
    <t xml:space="preserve">nasya treatment calgary; ayurvedic treatment for sinus</t>
  </si>
  <si>
    <t xml:space="preserve">nasya therapy; nasal oil; natural sinus relief; sinus congestion dry air; seasonal allergies ayurveda</t>
  </si>
  <si>
    <t xml:space="preserve">/concerns/sinus-congestion/; /concerns/seasonal-allergies/; /learn/nasya-oil-guide/</t>
  </si>
  <si>
    <t xml:space="preserve">Informational results are Indian and US content sites. No Canadian or Calgary page.</t>
  </si>
  <si>
    <t xml:space="preserve">Skin and hair</t>
  </si>
  <si>
    <t xml:space="preserve">ayurvedic skin treatment calgary; ayurvedic facial calgary</t>
  </si>
  <si>
    <t xml:space="preserve">herbal skin care; mukha lepam; dry skin winter; acne-prone skin; hair fall ayurveda; scalp oil therapy</t>
  </si>
  <si>
    <t xml:space="preserve">/therapies/ayurvedic-facial/; /therapies/ayurvedic-hair-scalp-therapy/; skin concern pages</t>
  </si>
  <si>
    <t xml:space="preserve">Ontario clinics rank nationally for eczema and psoriasis terms, with disease-treatment wording to avoid.</t>
  </si>
  <si>
    <t xml:space="preserve">Panchakarma and cleansing</t>
  </si>
  <si>
    <t xml:space="preserve">panchakarma calgary; ayurvedic cleanse canada</t>
  </si>
  <si>
    <t xml:space="preserve">ayurvedic detox; home panchakarma; seasonal cleanse; kitchari cleanse; panchakarma program cost</t>
  </si>
  <si>
    <t xml:space="preserve">Healwell and Ayurkulam rank locally with short pages.</t>
  </si>
  <si>
    <t xml:space="preserve">Pain and tension</t>
  </si>
  <si>
    <t xml:space="preserve">ayurvedic treatment for back pain; knee pain; neck pain</t>
  </si>
  <si>
    <t xml:space="preserve">natural back pain relief calgary; joint discomfort; desk posture tension; massage for back pain</t>
  </si>
  <si>
    <t xml:space="preserve">/concerns/knee-and-joint-discomfort/; /concerns/neck-and-shoulder-tension/; Vasti pages; /massage-therapy/deep-tissue-massage/</t>
  </si>
  <si>
    <t xml:space="preserve">Not checked in Google for this report. Expect national health sites to compete; the Calgary angle and a link to a bookable therapy are the way in.</t>
  </si>
  <si>
    <t xml:space="preserve">Stress, sleep and energy</t>
  </si>
  <si>
    <t xml:space="preserve">ayurveda for stress; ayurveda for sleep</t>
  </si>
  <si>
    <t xml:space="preserve">burnout support; natural sleep support; shirodhara for sleep; low energy; ashwagandha</t>
  </si>
  <si>
    <t xml:space="preserve">/concerns/sleep-support/; /concerns/low-energy-and-fatigue/; /consultations/stress-and-sleep/; /learn/ashwagandha-in-canada/</t>
  </si>
  <si>
    <t xml:space="preserve">Not checked in Google for this report. Use these pages to feed Shirodhara and consultation bookings.</t>
  </si>
  <si>
    <t xml:space="preserve">spiritual healing calgary; energy healing calgary</t>
  </si>
  <si>
    <t xml:space="preserve">spiritual healer calgary; distance healing; chakra balancing; holistic healing; certified spiritual healer alberta</t>
  </si>
  <si>
    <t xml:space="preserve">all /spiritual-healing/ child pages</t>
  </si>
  <si>
    <t xml:space="preserve">Reiki centres, a spiritualist church and counsellors. No one combines it with Ayurveda.</t>
  </si>
  <si>
    <t xml:space="preserve">Doshas and Ayurveda basics</t>
  </si>
  <si>
    <t xml:space="preserve">what is ayurveda; vata pitta kapha; dosha quiz</t>
  </si>
  <si>
    <t xml:space="preserve">vata dosha diet; pitta dosha; kapha dosha; ayurvedic daily routine; dinacharya; ayurvedic diet canada</t>
  </si>
  <si>
    <t xml:space="preserve">/learn/ pages</t>
  </si>
  <si>
    <t xml:space="preserve">Not checked in Google for this report. Expect global competition; these pages build authority and email sign-ups more than direct bookings.</t>
  </si>
  <si>
    <t xml:space="preserve">Trust and safety</t>
  </si>
  <si>
    <t xml:space="preserve">is ayurveda regulated in canada; are ayurvedic herbs safe</t>
  </si>
  <si>
    <t xml:space="preserve">what is bams; ayurveda vs naturopathy; is ayurveda covered by insurance; npn number; heavy metals</t>
  </si>
  <si>
    <t xml:space="preserve">/learn/are-ayurvedic-herbs-safe/; /learn/what-is-bams/; /insurance-direct-billing/</t>
  </si>
  <si>
    <t xml:space="preserve">None of the competitor sites reviewed covers these questions. High trust value.</t>
  </si>
  <si>
    <t xml:space="preserve">Massage therapy and insurance</t>
  </si>
  <si>
    <t xml:space="preserve">registered massage therapist calgary; rmt direct billing</t>
  </si>
  <si>
    <t xml:space="preserve">deep tissue massage calgary; reflexology calgary; mobile massage calgary; massage covered by insurance</t>
  </si>
  <si>
    <t xml:space="preserve">/insurance-direct-billing/; /massage-therapy/ child pages</t>
  </si>
  <si>
    <t xml:space="preserve">Not checked in Google for this report. General massage terms are widely contested; this section supports the Ayurvedic massage pages rather than leading.</t>
  </si>
  <si>
    <t xml:space="preserve">Search (Google Canada, 13 Oct 2026)</t>
  </si>
  <si>
    <t xml:space="preserve">Top results seen, in order</t>
  </si>
  <si>
    <t xml:space="preserve">Gap</t>
  </si>
  <si>
    <t xml:space="preserve">1 ayurkulam.com; 2 healwellayurveda.com; 3 synergycochrane.com; 4 theinnerwellness.com; 5 Sun Life provider profile; 6 ensoulaesthetics.ca; 7 fitcanphysio.com; 8 healwellayurveda.com/about; 9 vandewellness.com; 10 Medimap listing for O2 Herbal Therapy</t>
  </si>
  <si>
    <t xml:space="preserve">Only two dedicated Ayurveda practices on page one.</t>
  </si>
  <si>
    <t xml:space="preserve">1 jocelynsaestheticsandspa.ca; 2 mobilemassagecare.ca; 3 indianayurvedicmassage.net; 4 Alignable (Healwell); 5 healwellayurveda.com; 6 fitcanphysio.com; 7 Alignable (Ayurvedachalam); 8-9 spaceylonayurveda.ca; 10 ayurkulam.com</t>
  </si>
  <si>
    <t xml:space="preserve">A spa leads. An Alignable listing in the Ayurvedachalam name appears at position 7; it carries O2 Herbal Therapy Centre's description.</t>
  </si>
  <si>
    <t xml:space="preserve">1 fitcanphysio.com; 2 ensoulaesthetics.ca; 3 indianayurvedicmassage.net; 4 Medimap (O2 Herbal Therapy); 5 Nextdoor; 6 Yelp; 7 Fresha; 8 Facebook; 9 theinnerwellness.com; 10 jocelynsaestheticsandspa.ca</t>
  </si>
  <si>
    <t xml:space="preserve">Directories fill half the page. No BAMS-led page.</t>
  </si>
  <si>
    <t xml:space="preserve">1 jocelynsaestheticsandspa.ca; 2 Alignable (Ayurvedachalam); 3 traditionalbodywork.com; 4 o2herbaltherapy.ca; 5 jocelynsaestheticsandspa.ca (foot massage); 6 calmstudiomassage.com; 7 ensoulaesthetics.ca; 8 healwellayurveda.com</t>
  </si>
  <si>
    <t xml:space="preserve">An Alignable listing in the Ayurvedachalam name is 2nd and O2 Herbal Therapy Centre's own site is 4th. O2 is a competitor.</t>
  </si>
  <si>
    <t xml:space="preserve">1 sevayu.com (Mississauga); 2-3 Kati Kati dessert cafe; 4 indianbusinesscanada.com; 5 columbusayurveda.com (US)</t>
  </si>
  <si>
    <t xml:space="preserve">No Calgary provider.</t>
  </si>
  <si>
    <t xml:space="preserve">1 Yelp (Healwell); 2 healwellayurveda.com; 3 ayurveda4health.com; 4 healwellayurveda.com/treatments; 5 ayurveda4health.com; 6 Facebook (Healwell); 7-8 indianbusinesscanada.com; 9-10 ayurkulam.com</t>
  </si>
  <si>
    <t xml:space="preserve">Two competitors, short pages.</t>
  </si>
  <si>
    <t xml:space="preserve">1 arogyadhamhealth.com; 2 ayushforlife.com; 3 sourceayurveda.ca; 4 santhigram.ca; 5 ayurvedavancouver.com; 6 santhigram.ca; 7 ayurvedavancouver.com; 8 ayushforlife.com; 9 holisticayurveda.ca; 10 ayurvedtoronto.com</t>
  </si>
  <si>
    <t xml:space="preserve">No Alberta-based practice.</t>
  </si>
  <si>
    <t xml:space="preserve">ayurvedic doctor near me canada</t>
  </si>
  <si>
    <t xml:space="preserve">1 ayushforlife.com; 2 ayurvedavancouver.com; 3 Yelp (Toronto); 4 santhigram.ca; 5 gayatriayurveda.ca; 6 prajna-wellness.ca; 7 doctorleena.ca; 8 jotayurvedic.com; 9 collegeofayurvedatoronto.com; 10 ayurvedafortotalhealth.com</t>
  </si>
  <si>
    <t xml:space="preserve">Ontario and BC only.</t>
  </si>
  <si>
    <t xml:space="preserve">1 spiritedconnections.ca; 2 lunaholistic.com; 3 calgaryfirstspiritualistchurch.ca; 4 inspirewellnesstherapy.ca; 5 joyandvitalitycentre.ca; 6 therapyalberta.ca; 7 bearheartspiritualhealer.ca; 8 calgaryfirstspiritualistchurch.ca; 9 calgarycsl.org; 10 calgaryshaman.com</t>
  </si>
  <si>
    <t xml:space="preserve">Varied field. No Ayurveda link.</t>
  </si>
  <si>
    <t xml:space="preserve">1 swasthyaayurveda.com; 2 PubMed Central; 3 saumya-ayurveda.com; 4 kottakkalayurveda.ae; 5 shadanga.com; 6 drjasnasayurveda.com; 7 shathayuretreat.com; 8 amaltamara.com</t>
  </si>
  <si>
    <t xml:space="preserve">All international content sites.</t>
  </si>
  <si>
    <t xml:space="preserve">ayurvedic skin treatment eczema psoriasis canada</t>
  </si>
  <si>
    <t xml:space="preserve">1 ayursudha.ca (Brampton); 2 keralaayurveda.ca (Mississauga); 3-4 ayursudha.ca; 5 sevayu.com; 6 ayursudha.ca; 7 theayurvedicclinic.com; 8 ayurvedainstitute.co.uk</t>
  </si>
  <si>
    <t xml:space="preserve">Ontario clinics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</si>
</sst>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D5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D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23.8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23.8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62"/>
    <col collapsed="false" customWidth="true" hidden="false" outlineLevel="0" max="7" min="7" style="0" width="34"/>
    <col collapsed="false" customWidth="true" hidden="false" outlineLevel="0" max="8" min="8" style="0" width="52"/>
    <col collapsed="false" customWidth="true" hidden="false" outlineLevel="0" max="9" min="9" style="0" width="22"/>
    <col collapsed="false" customWidth="true" hidden="false" outlineLevel="0" max="10" min="10" style="0" width="58"/>
    <col collapsed="false" customWidth="true" hidden="false" outlineLevel="0" max="11" min="11" style="0" width="9"/>
    <col collapsed="false" customWidth="true" hidden="false" outlineLevel="0" max="12" min="12" style="0" width="5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70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9" min="19" style="0" width="22"/>
    <col collapsed="false" customWidth="true" hidden="false" outlineLevel="0" max="20" min="20" style="0" width="8"/>
  </cols>
  <sheetData>
    <row r="1" customFormat="false" ht="30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S1" s="5" t="s">
        <v>39</v>
      </c>
    </row>
    <row r="2" customFormat="false" ht="23.85" hidden="false" customHeight="false" outlineLevel="0" collapsed="false">
      <c r="A2" s="6" t="n">
        <v>1</v>
      </c>
      <c r="B2" s="7" t="n">
        <v>1</v>
      </c>
      <c r="C2" s="8" t="s">
        <v>40</v>
      </c>
      <c r="D2" s="8" t="s">
        <v>41</v>
      </c>
      <c r="E2" s="8" t="s">
        <v>42</v>
      </c>
      <c r="F2" s="8" t="str">
        <f aca="false">"https://ayurvedachalam.com"&amp;E2</f>
        <v>https://ayurvedachalam.com/</v>
      </c>
      <c r="G2" s="8" t="s">
        <v>43</v>
      </c>
      <c r="H2" s="8" t="s">
        <v>44</v>
      </c>
      <c r="I2" s="8" t="s">
        <v>45</v>
      </c>
      <c r="J2" s="8" t="s">
        <v>46</v>
      </c>
      <c r="K2" s="9" t="n">
        <f aca="false">LEN(J2)</f>
        <v>59</v>
      </c>
      <c r="L2" s="8" t="s">
        <v>47</v>
      </c>
      <c r="M2" s="8" t="s">
        <v>48</v>
      </c>
      <c r="N2" s="8" t="s">
        <v>49</v>
      </c>
      <c r="O2" s="8" t="s">
        <v>50</v>
      </c>
      <c r="P2" s="10" t="s">
        <v>51</v>
      </c>
      <c r="Q2" s="10"/>
      <c r="S2" s="11" t="s">
        <v>52</v>
      </c>
      <c r="T2" s="11" t="n">
        <f aca="false">COUNTIF($B$2:$B$101,1)</f>
        <v>37</v>
      </c>
    </row>
    <row r="3" customFormat="false" ht="23.85" hidden="false" customHeight="false" outlineLevel="0" collapsed="false">
      <c r="A3" s="6" t="n">
        <v>2</v>
      </c>
      <c r="B3" s="7" t="n">
        <v>1</v>
      </c>
      <c r="C3" s="8" t="s">
        <v>40</v>
      </c>
      <c r="D3" s="8" t="s">
        <v>53</v>
      </c>
      <c r="E3" s="8" t="s">
        <v>54</v>
      </c>
      <c r="F3" s="8" t="str">
        <f aca="false">"https://ayurvedachalam.com"&amp;E3</f>
        <v>https://ayurvedachalam.com/about/</v>
      </c>
      <c r="G3" s="8" t="s">
        <v>55</v>
      </c>
      <c r="H3" s="8" t="s">
        <v>56</v>
      </c>
      <c r="I3" s="8" t="s">
        <v>57</v>
      </c>
      <c r="J3" s="8" t="s">
        <v>58</v>
      </c>
      <c r="K3" s="9" t="n">
        <f aca="false">LEN(J3)</f>
        <v>52</v>
      </c>
      <c r="L3" s="8" t="s">
        <v>53</v>
      </c>
      <c r="M3" s="8" t="s">
        <v>59</v>
      </c>
      <c r="N3" s="8" t="s">
        <v>59</v>
      </c>
      <c r="O3" s="8" t="s">
        <v>60</v>
      </c>
      <c r="P3" s="10" t="s">
        <v>51</v>
      </c>
      <c r="Q3" s="10"/>
      <c r="S3" s="11" t="s">
        <v>61</v>
      </c>
      <c r="T3" s="11" t="n">
        <f aca="false">COUNTIF($B$2:$B$101,2)</f>
        <v>35</v>
      </c>
    </row>
    <row r="4" customFormat="false" ht="23.85" hidden="false" customHeight="false" outlineLevel="0" collapsed="false">
      <c r="A4" s="6" t="n">
        <v>3</v>
      </c>
      <c r="B4" s="7" t="n">
        <v>1</v>
      </c>
      <c r="C4" s="8" t="s">
        <v>40</v>
      </c>
      <c r="D4" s="8" t="s">
        <v>62</v>
      </c>
      <c r="E4" s="8" t="s">
        <v>63</v>
      </c>
      <c r="F4" s="8" t="str">
        <f aca="false">"https://ayurvedachalam.com"&amp;E4</f>
        <v>https://ayurvedachalam.com/about/practitioner/</v>
      </c>
      <c r="G4" s="8" t="s">
        <v>64</v>
      </c>
      <c r="H4" s="8" t="s">
        <v>65</v>
      </c>
      <c r="I4" s="8" t="s">
        <v>66</v>
      </c>
      <c r="J4" s="8" t="s">
        <v>67</v>
      </c>
      <c r="K4" s="9" t="n">
        <f aca="false">LEN(J4)</f>
        <v>50</v>
      </c>
      <c r="L4" s="8" t="s">
        <v>68</v>
      </c>
      <c r="M4" s="8" t="s">
        <v>49</v>
      </c>
      <c r="N4" s="8" t="s">
        <v>59</v>
      </c>
      <c r="O4" s="8" t="s">
        <v>69</v>
      </c>
      <c r="P4" s="10" t="s">
        <v>51</v>
      </c>
      <c r="Q4" s="10"/>
      <c r="S4" s="11" t="s">
        <v>70</v>
      </c>
      <c r="T4" s="11" t="n">
        <f aca="false">COUNTIF($B$2:$B$101,3)</f>
        <v>16</v>
      </c>
    </row>
    <row r="5" customFormat="false" ht="23.85" hidden="false" customHeight="false" outlineLevel="0" collapsed="false">
      <c r="A5" s="6" t="n">
        <v>4</v>
      </c>
      <c r="B5" s="7" t="n">
        <v>1</v>
      </c>
      <c r="C5" s="8" t="s">
        <v>40</v>
      </c>
      <c r="D5" s="8" t="s">
        <v>71</v>
      </c>
      <c r="E5" s="8" t="s">
        <v>72</v>
      </c>
      <c r="F5" s="8" t="str">
        <f aca="false">"https://ayurvedachalam.com"&amp;E5</f>
        <v>https://ayurvedachalam.com/book/</v>
      </c>
      <c r="G5" s="8" t="s">
        <v>73</v>
      </c>
      <c r="H5" s="8" t="s">
        <v>74</v>
      </c>
      <c r="I5" s="8" t="s">
        <v>75</v>
      </c>
      <c r="J5" s="8" t="s">
        <v>76</v>
      </c>
      <c r="K5" s="9" t="n">
        <f aca="false">LEN(J5)</f>
        <v>51</v>
      </c>
      <c r="L5" s="8" t="s">
        <v>77</v>
      </c>
      <c r="M5" s="8" t="s">
        <v>49</v>
      </c>
      <c r="N5" s="8" t="s">
        <v>59</v>
      </c>
      <c r="O5" s="8" t="s">
        <v>78</v>
      </c>
      <c r="P5" s="10" t="s">
        <v>51</v>
      </c>
      <c r="Q5" s="10"/>
      <c r="S5" s="11" t="s">
        <v>79</v>
      </c>
      <c r="T5" s="11" t="n">
        <f aca="false">COUNTIF($B$2:$B$101,"A")</f>
        <v>12</v>
      </c>
    </row>
    <row r="6" customFormat="false" ht="23.85" hidden="false" customHeight="false" outlineLevel="0" collapsed="false">
      <c r="A6" s="6" t="n">
        <v>5</v>
      </c>
      <c r="B6" s="7" t="n">
        <v>1</v>
      </c>
      <c r="C6" s="8" t="s">
        <v>40</v>
      </c>
      <c r="D6" s="8" t="s">
        <v>80</v>
      </c>
      <c r="E6" s="8" t="s">
        <v>81</v>
      </c>
      <c r="F6" s="8" t="str">
        <f aca="false">"https://ayurvedachalam.com"&amp;E6</f>
        <v>https://ayurvedachalam.com/pricing/</v>
      </c>
      <c r="G6" s="8" t="s">
        <v>82</v>
      </c>
      <c r="H6" s="8" t="s">
        <v>83</v>
      </c>
      <c r="I6" s="8" t="s">
        <v>66</v>
      </c>
      <c r="J6" s="8" t="s">
        <v>84</v>
      </c>
      <c r="K6" s="9" t="n">
        <f aca="false">LEN(J6)</f>
        <v>50</v>
      </c>
      <c r="L6" s="8" t="s">
        <v>85</v>
      </c>
      <c r="M6" s="8" t="s">
        <v>49</v>
      </c>
      <c r="N6" s="8" t="s">
        <v>59</v>
      </c>
      <c r="O6" s="8" t="s">
        <v>86</v>
      </c>
      <c r="P6" s="10" t="s">
        <v>51</v>
      </c>
      <c r="Q6" s="10"/>
      <c r="S6" s="5" t="s">
        <v>87</v>
      </c>
      <c r="T6" s="5" t="n">
        <f aca="false">SUM(T2:T5)</f>
        <v>100</v>
      </c>
    </row>
    <row r="7" customFormat="false" ht="23.85" hidden="false" customHeight="false" outlineLevel="0" collapsed="false">
      <c r="A7" s="6" t="n">
        <v>6</v>
      </c>
      <c r="B7" s="7" t="n">
        <v>1</v>
      </c>
      <c r="C7" s="8" t="s">
        <v>40</v>
      </c>
      <c r="D7" s="8" t="s">
        <v>88</v>
      </c>
      <c r="E7" s="8" t="s">
        <v>89</v>
      </c>
      <c r="F7" s="8" t="str">
        <f aca="false">"https://ayurvedachalam.com"&amp;E7</f>
        <v>https://ayurvedachalam.com/insurance-direct-billing/</v>
      </c>
      <c r="G7" s="8" t="s">
        <v>90</v>
      </c>
      <c r="H7" s="8" t="s">
        <v>91</v>
      </c>
      <c r="I7" s="8" t="s">
        <v>66</v>
      </c>
      <c r="J7" s="8" t="s">
        <v>92</v>
      </c>
      <c r="K7" s="9" t="n">
        <f aca="false">LEN(J7)</f>
        <v>52</v>
      </c>
      <c r="L7" s="8" t="s">
        <v>93</v>
      </c>
      <c r="M7" s="8" t="s">
        <v>49</v>
      </c>
      <c r="N7" s="8" t="s">
        <v>59</v>
      </c>
      <c r="O7" s="8" t="s">
        <v>94</v>
      </c>
      <c r="P7" s="10" t="s">
        <v>51</v>
      </c>
      <c r="Q7" s="10"/>
    </row>
    <row r="8" customFormat="false" ht="15" hidden="false" customHeight="false" outlineLevel="0" collapsed="false">
      <c r="A8" s="6" t="n">
        <v>7</v>
      </c>
      <c r="B8" s="7" t="n">
        <v>1</v>
      </c>
      <c r="C8" s="8" t="s">
        <v>40</v>
      </c>
      <c r="D8" s="8" t="s">
        <v>95</v>
      </c>
      <c r="E8" s="8" t="s">
        <v>96</v>
      </c>
      <c r="F8" s="8" t="str">
        <f aca="false">"https://ayurvedachalam.com"&amp;E8</f>
        <v>https://ayurvedachalam.com/contact/</v>
      </c>
      <c r="G8" s="8" t="s">
        <v>97</v>
      </c>
      <c r="H8" s="8" t="s">
        <v>98</v>
      </c>
      <c r="I8" s="8" t="s">
        <v>57</v>
      </c>
      <c r="J8" s="8" t="s">
        <v>99</v>
      </c>
      <c r="K8" s="9" t="n">
        <f aca="false">LEN(J8)</f>
        <v>49</v>
      </c>
      <c r="L8" s="8" t="s">
        <v>100</v>
      </c>
      <c r="M8" s="8" t="s">
        <v>59</v>
      </c>
      <c r="N8" s="8" t="s">
        <v>59</v>
      </c>
      <c r="O8" s="8" t="s">
        <v>101</v>
      </c>
      <c r="P8" s="10" t="s">
        <v>51</v>
      </c>
      <c r="Q8" s="10"/>
      <c r="S8" s="11" t="s">
        <v>102</v>
      </c>
      <c r="T8" s="11" t="n">
        <f aca="false">COUNTIF($P$2:$P$101,"Published")</f>
        <v>0</v>
      </c>
    </row>
    <row r="9" customFormat="false" ht="23.85" hidden="false" customHeight="false" outlineLevel="0" collapsed="false">
      <c r="A9" s="6" t="n">
        <v>8</v>
      </c>
      <c r="B9" s="7" t="n">
        <v>1</v>
      </c>
      <c r="C9" s="8" t="s">
        <v>40</v>
      </c>
      <c r="D9" s="8" t="s">
        <v>103</v>
      </c>
      <c r="E9" s="8" t="s">
        <v>104</v>
      </c>
      <c r="F9" s="8" t="str">
        <f aca="false">"https://ayurvedachalam.com"&amp;E9</f>
        <v>https://ayurvedachalam.com/reviews/</v>
      </c>
      <c r="G9" s="8" t="s">
        <v>105</v>
      </c>
      <c r="H9" s="8" t="s">
        <v>106</v>
      </c>
      <c r="I9" s="8" t="s">
        <v>66</v>
      </c>
      <c r="J9" s="8" t="s">
        <v>107</v>
      </c>
      <c r="K9" s="9" t="n">
        <f aca="false">LEN(J9)</f>
        <v>39</v>
      </c>
      <c r="L9" s="8" t="s">
        <v>108</v>
      </c>
      <c r="M9" s="8" t="s">
        <v>59</v>
      </c>
      <c r="N9" s="8" t="s">
        <v>59</v>
      </c>
      <c r="O9" s="8" t="s">
        <v>109</v>
      </c>
      <c r="P9" s="10" t="s">
        <v>51</v>
      </c>
      <c r="Q9" s="10"/>
    </row>
    <row r="10" customFormat="false" ht="23.85" hidden="false" customHeight="false" outlineLevel="0" collapsed="false">
      <c r="A10" s="6" t="n">
        <v>9</v>
      </c>
      <c r="B10" s="7" t="n">
        <v>1</v>
      </c>
      <c r="C10" s="8" t="s">
        <v>40</v>
      </c>
      <c r="D10" s="8" t="s">
        <v>110</v>
      </c>
      <c r="E10" s="8" t="s">
        <v>111</v>
      </c>
      <c r="F10" s="8" t="str">
        <f aca="false">"https://ayurvedachalam.com"&amp;E10</f>
        <v>https://ayurvedachalam.com/faq/</v>
      </c>
      <c r="G10" s="8" t="s">
        <v>112</v>
      </c>
      <c r="H10" s="8" t="s">
        <v>113</v>
      </c>
      <c r="I10" s="8" t="s">
        <v>114</v>
      </c>
      <c r="J10" s="8" t="s">
        <v>115</v>
      </c>
      <c r="K10" s="9" t="n">
        <f aca="false">LEN(J10)</f>
        <v>48</v>
      </c>
      <c r="L10" s="8" t="s">
        <v>116</v>
      </c>
      <c r="M10" s="8" t="s">
        <v>59</v>
      </c>
      <c r="N10" s="8" t="s">
        <v>59</v>
      </c>
      <c r="O10" s="8" t="s">
        <v>117</v>
      </c>
      <c r="P10" s="10" t="s">
        <v>51</v>
      </c>
      <c r="Q10" s="10"/>
    </row>
    <row r="11" customFormat="false" ht="23.85" hidden="false" customHeight="false" outlineLevel="0" collapsed="false">
      <c r="A11" s="6" t="n">
        <v>10</v>
      </c>
      <c r="B11" s="7" t="n">
        <v>1</v>
      </c>
      <c r="C11" s="8" t="s">
        <v>40</v>
      </c>
      <c r="D11" s="8" t="s">
        <v>118</v>
      </c>
      <c r="E11" s="8" t="s">
        <v>119</v>
      </c>
      <c r="F11" s="8" t="str">
        <f aca="false">"https://ayurvedachalam.com"&amp;E11</f>
        <v>https://ayurvedachalam.com/first-visit/</v>
      </c>
      <c r="G11" s="8" t="s">
        <v>120</v>
      </c>
      <c r="H11" s="8" t="s">
        <v>121</v>
      </c>
      <c r="I11" s="8" t="s">
        <v>114</v>
      </c>
      <c r="J11" s="8" t="s">
        <v>122</v>
      </c>
      <c r="K11" s="9" t="n">
        <f aca="false">LEN(J11)</f>
        <v>49</v>
      </c>
      <c r="L11" s="8" t="s">
        <v>123</v>
      </c>
      <c r="M11" s="8" t="s">
        <v>59</v>
      </c>
      <c r="N11" s="8" t="s">
        <v>59</v>
      </c>
      <c r="O11" s="8" t="s">
        <v>124</v>
      </c>
      <c r="P11" s="10" t="s">
        <v>51</v>
      </c>
      <c r="Q11" s="10"/>
    </row>
    <row r="12" customFormat="false" ht="23.85" hidden="false" customHeight="false" outlineLevel="0" collapsed="false">
      <c r="A12" s="6" t="n">
        <v>11</v>
      </c>
      <c r="B12" s="7" t="n">
        <v>1</v>
      </c>
      <c r="C12" s="8" t="s">
        <v>125</v>
      </c>
      <c r="D12" s="8" t="s">
        <v>126</v>
      </c>
      <c r="E12" s="8" t="s">
        <v>127</v>
      </c>
      <c r="F12" s="8" t="str">
        <f aca="false">"https://ayurvedachalam.com"&amp;E12</f>
        <v>https://ayurvedachalam.com/consultations/</v>
      </c>
      <c r="G12" s="8" t="s">
        <v>128</v>
      </c>
      <c r="H12" s="8" t="s">
        <v>129</v>
      </c>
      <c r="I12" s="8" t="s">
        <v>66</v>
      </c>
      <c r="J12" s="8" t="s">
        <v>130</v>
      </c>
      <c r="K12" s="9" t="n">
        <f aca="false">LEN(J12)</f>
        <v>56</v>
      </c>
      <c r="L12" s="8" t="s">
        <v>131</v>
      </c>
      <c r="M12" s="8" t="s">
        <v>48</v>
      </c>
      <c r="N12" s="8" t="s">
        <v>49</v>
      </c>
      <c r="O12" s="8" t="s">
        <v>132</v>
      </c>
      <c r="P12" s="10" t="s">
        <v>51</v>
      </c>
      <c r="Q12" s="10"/>
    </row>
    <row r="13" customFormat="false" ht="23.85" hidden="false" customHeight="false" outlineLevel="0" collapsed="false">
      <c r="A13" s="6" t="n">
        <v>12</v>
      </c>
      <c r="B13" s="7" t="n">
        <v>1</v>
      </c>
      <c r="C13" s="8" t="s">
        <v>125</v>
      </c>
      <c r="D13" s="8" t="s">
        <v>133</v>
      </c>
      <c r="E13" s="8" t="s">
        <v>134</v>
      </c>
      <c r="F13" s="8" t="str">
        <f aca="false">"https://ayurvedachalam.com"&amp;E13</f>
        <v>https://ayurvedachalam.com/consultations/online-ayurvedic-consultation-canada/</v>
      </c>
      <c r="G13" s="8" t="s">
        <v>135</v>
      </c>
      <c r="H13" s="8" t="s">
        <v>136</v>
      </c>
      <c r="I13" s="8" t="s">
        <v>75</v>
      </c>
      <c r="J13" s="8" t="s">
        <v>137</v>
      </c>
      <c r="K13" s="9" t="n">
        <f aca="false">LEN(J13)</f>
        <v>59</v>
      </c>
      <c r="L13" s="8" t="s">
        <v>138</v>
      </c>
      <c r="M13" s="8" t="s">
        <v>48</v>
      </c>
      <c r="N13" s="8" t="s">
        <v>48</v>
      </c>
      <c r="O13" s="8" t="s">
        <v>139</v>
      </c>
      <c r="P13" s="10" t="s">
        <v>51</v>
      </c>
      <c r="Q13" s="10"/>
    </row>
    <row r="14" customFormat="false" ht="23.85" hidden="false" customHeight="false" outlineLevel="0" collapsed="false">
      <c r="A14" s="6" t="n">
        <v>13</v>
      </c>
      <c r="B14" s="7" t="n">
        <v>1</v>
      </c>
      <c r="C14" s="8" t="s">
        <v>125</v>
      </c>
      <c r="D14" s="8" t="s">
        <v>140</v>
      </c>
      <c r="E14" s="8" t="s">
        <v>141</v>
      </c>
      <c r="F14" s="8" t="str">
        <f aca="false">"https://ayurvedachalam.com"&amp;E14</f>
        <v>https://ayurvedachalam.com/consultations/ayurvedic-consultation-calgary/</v>
      </c>
      <c r="G14" s="8" t="s">
        <v>142</v>
      </c>
      <c r="H14" s="8" t="s">
        <v>143</v>
      </c>
      <c r="I14" s="8" t="s">
        <v>144</v>
      </c>
      <c r="J14" s="8" t="s">
        <v>145</v>
      </c>
      <c r="K14" s="9" t="n">
        <f aca="false">LEN(J14)</f>
        <v>53</v>
      </c>
      <c r="L14" s="8" t="s">
        <v>146</v>
      </c>
      <c r="M14" s="8" t="s">
        <v>48</v>
      </c>
      <c r="N14" s="8" t="s">
        <v>49</v>
      </c>
      <c r="O14" s="8" t="s">
        <v>147</v>
      </c>
      <c r="P14" s="10" t="s">
        <v>51</v>
      </c>
      <c r="Q14" s="10"/>
    </row>
    <row r="15" customFormat="false" ht="23.85" hidden="false" customHeight="false" outlineLevel="0" collapsed="false">
      <c r="A15" s="6" t="n">
        <v>14</v>
      </c>
      <c r="B15" s="7" t="n">
        <v>1</v>
      </c>
      <c r="C15" s="8" t="s">
        <v>125</v>
      </c>
      <c r="D15" s="8" t="s">
        <v>148</v>
      </c>
      <c r="E15" s="8" t="s">
        <v>149</v>
      </c>
      <c r="F15" s="8" t="str">
        <f aca="false">"https://ayurvedachalam.com"&amp;E15</f>
        <v>https://ayurvedachalam.com/consultations/nadi-pariksha-pulse-reading/</v>
      </c>
      <c r="G15" s="8" t="s">
        <v>150</v>
      </c>
      <c r="H15" s="8" t="s">
        <v>151</v>
      </c>
      <c r="I15" s="8" t="s">
        <v>144</v>
      </c>
      <c r="J15" s="8" t="s">
        <v>152</v>
      </c>
      <c r="K15" s="9" t="n">
        <f aca="false">LEN(J15)</f>
        <v>50</v>
      </c>
      <c r="L15" s="8" t="s">
        <v>153</v>
      </c>
      <c r="M15" s="8" t="s">
        <v>49</v>
      </c>
      <c r="N15" s="8" t="s">
        <v>59</v>
      </c>
      <c r="O15" s="8" t="s">
        <v>154</v>
      </c>
      <c r="P15" s="10" t="s">
        <v>51</v>
      </c>
      <c r="Q15" s="10"/>
    </row>
    <row r="16" customFormat="false" ht="23.85" hidden="false" customHeight="false" outlineLevel="0" collapsed="false">
      <c r="A16" s="6" t="n">
        <v>15</v>
      </c>
      <c r="B16" s="12" t="n">
        <v>2</v>
      </c>
      <c r="C16" s="8" t="s">
        <v>125</v>
      </c>
      <c r="D16" s="8" t="s">
        <v>155</v>
      </c>
      <c r="E16" s="8" t="s">
        <v>156</v>
      </c>
      <c r="F16" s="8" t="str">
        <f aca="false">"https://ayurvedachalam.com"&amp;E16</f>
        <v>https://ayurvedachalam.com/consultations/ayurvedic-diet-consultation/</v>
      </c>
      <c r="G16" s="8" t="s">
        <v>157</v>
      </c>
      <c r="H16" s="8" t="s">
        <v>158</v>
      </c>
      <c r="I16" s="8" t="s">
        <v>66</v>
      </c>
      <c r="J16" s="8" t="s">
        <v>159</v>
      </c>
      <c r="K16" s="9" t="n">
        <f aca="false">LEN(J16)</f>
        <v>54</v>
      </c>
      <c r="L16" s="8" t="s">
        <v>160</v>
      </c>
      <c r="M16" s="8" t="s">
        <v>49</v>
      </c>
      <c r="N16" s="8" t="s">
        <v>59</v>
      </c>
      <c r="O16" s="8" t="s">
        <v>161</v>
      </c>
      <c r="P16" s="10" t="s">
        <v>51</v>
      </c>
      <c r="Q16" s="10"/>
    </row>
    <row r="17" customFormat="false" ht="23.85" hidden="false" customHeight="false" outlineLevel="0" collapsed="false">
      <c r="A17" s="6" t="n">
        <v>16</v>
      </c>
      <c r="B17" s="12" t="n">
        <v>2</v>
      </c>
      <c r="C17" s="8" t="s">
        <v>125</v>
      </c>
      <c r="D17" s="8" t="s">
        <v>162</v>
      </c>
      <c r="E17" s="8" t="s">
        <v>163</v>
      </c>
      <c r="F17" s="8" t="str">
        <f aca="false">"https://ayurvedachalam.com"&amp;E17</f>
        <v>https://ayurvedachalam.com/consultations/ayurvedic-herbal-consultation/</v>
      </c>
      <c r="G17" s="8" t="s">
        <v>164</v>
      </c>
      <c r="H17" s="8" t="s">
        <v>165</v>
      </c>
      <c r="I17" s="8" t="s">
        <v>144</v>
      </c>
      <c r="J17" s="8" t="s">
        <v>166</v>
      </c>
      <c r="K17" s="9" t="n">
        <f aca="false">LEN(J17)</f>
        <v>59</v>
      </c>
      <c r="L17" s="8" t="s">
        <v>167</v>
      </c>
      <c r="M17" s="8" t="s">
        <v>49</v>
      </c>
      <c r="N17" s="8" t="s">
        <v>59</v>
      </c>
      <c r="O17" s="8" t="s">
        <v>168</v>
      </c>
      <c r="P17" s="10" t="s">
        <v>51</v>
      </c>
      <c r="Q17" s="10"/>
    </row>
    <row r="18" customFormat="false" ht="23.85" hidden="false" customHeight="false" outlineLevel="0" collapsed="false">
      <c r="A18" s="6" t="n">
        <v>17</v>
      </c>
      <c r="B18" s="12" t="n">
        <v>2</v>
      </c>
      <c r="C18" s="8" t="s">
        <v>125</v>
      </c>
      <c r="D18" s="8" t="s">
        <v>169</v>
      </c>
      <c r="E18" s="8" t="s">
        <v>170</v>
      </c>
      <c r="F18" s="8" t="str">
        <f aca="false">"https://ayurvedachalam.com"&amp;E18</f>
        <v>https://ayurvedachalam.com/consultations/womens-wellness/</v>
      </c>
      <c r="G18" s="8" t="s">
        <v>171</v>
      </c>
      <c r="H18" s="8" t="s">
        <v>172</v>
      </c>
      <c r="I18" s="8" t="s">
        <v>66</v>
      </c>
      <c r="J18" s="8" t="s">
        <v>173</v>
      </c>
      <c r="K18" s="9" t="n">
        <f aca="false">LEN(J18)</f>
        <v>51</v>
      </c>
      <c r="L18" s="8" t="s">
        <v>174</v>
      </c>
      <c r="M18" s="8" t="s">
        <v>49</v>
      </c>
      <c r="N18" s="8" t="s">
        <v>49</v>
      </c>
      <c r="O18" s="8" t="s">
        <v>175</v>
      </c>
      <c r="P18" s="10" t="s">
        <v>51</v>
      </c>
      <c r="Q18" s="10"/>
    </row>
    <row r="19" customFormat="false" ht="23.85" hidden="false" customHeight="false" outlineLevel="0" collapsed="false">
      <c r="A19" s="6" t="n">
        <v>18</v>
      </c>
      <c r="B19" s="12" t="n">
        <v>2</v>
      </c>
      <c r="C19" s="8" t="s">
        <v>125</v>
      </c>
      <c r="D19" s="8" t="s">
        <v>176</v>
      </c>
      <c r="E19" s="8" t="s">
        <v>177</v>
      </c>
      <c r="F19" s="8" t="str">
        <f aca="false">"https://ayurvedachalam.com"&amp;E19</f>
        <v>https://ayurvedachalam.com/consultations/digestive-wellness/</v>
      </c>
      <c r="G19" s="8" t="s">
        <v>178</v>
      </c>
      <c r="H19" s="8" t="s">
        <v>179</v>
      </c>
      <c r="I19" s="8" t="s">
        <v>66</v>
      </c>
      <c r="J19" s="8" t="s">
        <v>180</v>
      </c>
      <c r="K19" s="9" t="n">
        <f aca="false">LEN(J19)</f>
        <v>54</v>
      </c>
      <c r="L19" s="8" t="s">
        <v>181</v>
      </c>
      <c r="M19" s="8" t="s">
        <v>49</v>
      </c>
      <c r="N19" s="8" t="s">
        <v>59</v>
      </c>
      <c r="O19" s="8" t="s">
        <v>182</v>
      </c>
      <c r="P19" s="10" t="s">
        <v>51</v>
      </c>
      <c r="Q19" s="10"/>
    </row>
    <row r="20" customFormat="false" ht="23.85" hidden="false" customHeight="false" outlineLevel="0" collapsed="false">
      <c r="A20" s="6" t="n">
        <v>19</v>
      </c>
      <c r="B20" s="12" t="n">
        <v>2</v>
      </c>
      <c r="C20" s="8" t="s">
        <v>125</v>
      </c>
      <c r="D20" s="8" t="s">
        <v>183</v>
      </c>
      <c r="E20" s="8" t="s">
        <v>184</v>
      </c>
      <c r="F20" s="8" t="str">
        <f aca="false">"https://ayurvedachalam.com"&amp;E20</f>
        <v>https://ayurvedachalam.com/consultations/stress-and-sleep/</v>
      </c>
      <c r="G20" s="8" t="s">
        <v>185</v>
      </c>
      <c r="H20" s="8" t="s">
        <v>186</v>
      </c>
      <c r="I20" s="8" t="s">
        <v>66</v>
      </c>
      <c r="J20" s="8" t="s">
        <v>187</v>
      </c>
      <c r="K20" s="9" t="n">
        <f aca="false">LEN(J20)</f>
        <v>54</v>
      </c>
      <c r="L20" s="8" t="s">
        <v>188</v>
      </c>
      <c r="M20" s="8" t="s">
        <v>49</v>
      </c>
      <c r="N20" s="8" t="s">
        <v>59</v>
      </c>
      <c r="O20" s="8" t="s">
        <v>189</v>
      </c>
      <c r="P20" s="10" t="s">
        <v>51</v>
      </c>
      <c r="Q20" s="10"/>
    </row>
    <row r="21" customFormat="false" ht="23.85" hidden="false" customHeight="false" outlineLevel="0" collapsed="false">
      <c r="A21" s="6" t="n">
        <v>20</v>
      </c>
      <c r="B21" s="12" t="n">
        <v>2</v>
      </c>
      <c r="C21" s="8" t="s">
        <v>125</v>
      </c>
      <c r="D21" s="8" t="s">
        <v>190</v>
      </c>
      <c r="E21" s="8" t="s">
        <v>191</v>
      </c>
      <c r="F21" s="8" t="str">
        <f aca="false">"https://ayurvedachalam.com"&amp;E21</f>
        <v>https://ayurvedachalam.com/consultations/seasonal-cleanse-program/</v>
      </c>
      <c r="G21" s="8" t="s">
        <v>192</v>
      </c>
      <c r="H21" s="8" t="s">
        <v>193</v>
      </c>
      <c r="I21" s="8" t="s">
        <v>66</v>
      </c>
      <c r="J21" s="8" t="s">
        <v>194</v>
      </c>
      <c r="K21" s="9" t="n">
        <f aca="false">LEN(J21)</f>
        <v>50</v>
      </c>
      <c r="L21" s="8" t="s">
        <v>195</v>
      </c>
      <c r="M21" s="8" t="s">
        <v>49</v>
      </c>
      <c r="N21" s="8" t="s">
        <v>49</v>
      </c>
      <c r="O21" s="8" t="s">
        <v>196</v>
      </c>
      <c r="P21" s="10" t="s">
        <v>51</v>
      </c>
      <c r="Q21" s="10"/>
    </row>
    <row r="22" customFormat="false" ht="23.85" hidden="false" customHeight="false" outlineLevel="0" collapsed="false">
      <c r="A22" s="6" t="n">
        <v>21</v>
      </c>
      <c r="B22" s="7" t="n">
        <v>1</v>
      </c>
      <c r="C22" s="8" t="s">
        <v>197</v>
      </c>
      <c r="D22" s="8" t="s">
        <v>198</v>
      </c>
      <c r="E22" s="8" t="s">
        <v>199</v>
      </c>
      <c r="F22" s="8" t="str">
        <f aca="false">"https://ayurvedachalam.com"&amp;E22</f>
        <v>https://ayurvedachalam.com/therapies/</v>
      </c>
      <c r="G22" s="8" t="s">
        <v>200</v>
      </c>
      <c r="H22" s="8" t="s">
        <v>201</v>
      </c>
      <c r="I22" s="8" t="s">
        <v>144</v>
      </c>
      <c r="J22" s="8" t="s">
        <v>202</v>
      </c>
      <c r="K22" s="9" t="n">
        <f aca="false">LEN(J22)</f>
        <v>43</v>
      </c>
      <c r="L22" s="8" t="s">
        <v>203</v>
      </c>
      <c r="M22" s="8" t="s">
        <v>48</v>
      </c>
      <c r="N22" s="8" t="s">
        <v>49</v>
      </c>
      <c r="O22" s="8" t="s">
        <v>204</v>
      </c>
      <c r="P22" s="10" t="s">
        <v>51</v>
      </c>
      <c r="Q22" s="10"/>
    </row>
    <row r="23" customFormat="false" ht="23.85" hidden="false" customHeight="false" outlineLevel="0" collapsed="false">
      <c r="A23" s="6" t="n">
        <v>22</v>
      </c>
      <c r="B23" s="7" t="n">
        <v>1</v>
      </c>
      <c r="C23" s="8" t="s">
        <v>197</v>
      </c>
      <c r="D23" s="8" t="s">
        <v>205</v>
      </c>
      <c r="E23" s="8" t="s">
        <v>206</v>
      </c>
      <c r="F23" s="8" t="str">
        <f aca="false">"https://ayurvedachalam.com"&amp;E23</f>
        <v>https://ayurvedachalam.com/therapies/abhyanga/</v>
      </c>
      <c r="G23" s="8" t="s">
        <v>207</v>
      </c>
      <c r="H23" s="8" t="s">
        <v>208</v>
      </c>
      <c r="I23" s="8" t="s">
        <v>144</v>
      </c>
      <c r="J23" s="8" t="s">
        <v>209</v>
      </c>
      <c r="K23" s="9" t="n">
        <f aca="false">LEN(J23)</f>
        <v>56</v>
      </c>
      <c r="L23" s="8" t="s">
        <v>210</v>
      </c>
      <c r="M23" s="8" t="s">
        <v>48</v>
      </c>
      <c r="N23" s="8" t="s">
        <v>59</v>
      </c>
      <c r="O23" s="8" t="s">
        <v>211</v>
      </c>
      <c r="P23" s="10" t="s">
        <v>51</v>
      </c>
      <c r="Q23" s="10"/>
    </row>
    <row r="24" customFormat="false" ht="23.85" hidden="false" customHeight="false" outlineLevel="0" collapsed="false">
      <c r="A24" s="6" t="n">
        <v>23</v>
      </c>
      <c r="B24" s="7" t="n">
        <v>1</v>
      </c>
      <c r="C24" s="8" t="s">
        <v>197</v>
      </c>
      <c r="D24" s="8" t="s">
        <v>212</v>
      </c>
      <c r="E24" s="8" t="s">
        <v>213</v>
      </c>
      <c r="F24" s="8" t="str">
        <f aca="false">"https://ayurvedachalam.com"&amp;E24</f>
        <v>https://ayurvedachalam.com/therapies/shirodhara/</v>
      </c>
      <c r="G24" s="8" t="s">
        <v>214</v>
      </c>
      <c r="H24" s="8" t="s">
        <v>215</v>
      </c>
      <c r="I24" s="8" t="s">
        <v>144</v>
      </c>
      <c r="J24" s="8" t="s">
        <v>216</v>
      </c>
      <c r="K24" s="9" t="n">
        <f aca="false">LEN(J24)</f>
        <v>49</v>
      </c>
      <c r="L24" s="8" t="s">
        <v>217</v>
      </c>
      <c r="M24" s="8" t="s">
        <v>48</v>
      </c>
      <c r="N24" s="8" t="s">
        <v>59</v>
      </c>
      <c r="O24" s="8" t="s">
        <v>218</v>
      </c>
      <c r="P24" s="10" t="s">
        <v>51</v>
      </c>
      <c r="Q24" s="10"/>
    </row>
    <row r="25" customFormat="false" ht="23.85" hidden="false" customHeight="false" outlineLevel="0" collapsed="false">
      <c r="A25" s="6" t="n">
        <v>24</v>
      </c>
      <c r="B25" s="7" t="n">
        <v>1</v>
      </c>
      <c r="C25" s="8" t="s">
        <v>197</v>
      </c>
      <c r="D25" s="8" t="s">
        <v>219</v>
      </c>
      <c r="E25" s="8" t="s">
        <v>220</v>
      </c>
      <c r="F25" s="8" t="str">
        <f aca="false">"https://ayurvedachalam.com"&amp;E25</f>
        <v>https://ayurvedachalam.com/therapies/kati-vasti/</v>
      </c>
      <c r="G25" s="8" t="s">
        <v>221</v>
      </c>
      <c r="H25" s="8" t="s">
        <v>222</v>
      </c>
      <c r="I25" s="8" t="s">
        <v>144</v>
      </c>
      <c r="J25" s="8" t="s">
        <v>223</v>
      </c>
      <c r="K25" s="9" t="n">
        <f aca="false">LEN(J25)</f>
        <v>55</v>
      </c>
      <c r="L25" s="8" t="s">
        <v>224</v>
      </c>
      <c r="M25" s="8" t="s">
        <v>49</v>
      </c>
      <c r="N25" s="8" t="s">
        <v>59</v>
      </c>
      <c r="O25" s="8" t="s">
        <v>225</v>
      </c>
      <c r="P25" s="10" t="s">
        <v>51</v>
      </c>
      <c r="Q25" s="10"/>
    </row>
    <row r="26" customFormat="false" ht="23.85" hidden="false" customHeight="false" outlineLevel="0" collapsed="false">
      <c r="A26" s="6" t="n">
        <v>25</v>
      </c>
      <c r="B26" s="7" t="n">
        <v>1</v>
      </c>
      <c r="C26" s="8" t="s">
        <v>197</v>
      </c>
      <c r="D26" s="8" t="s">
        <v>226</v>
      </c>
      <c r="E26" s="8" t="s">
        <v>227</v>
      </c>
      <c r="F26" s="8" t="str">
        <f aca="false">"https://ayurvedachalam.com"&amp;E26</f>
        <v>https://ayurvedachalam.com/therapies/janu-vasti/</v>
      </c>
      <c r="G26" s="8" t="s">
        <v>228</v>
      </c>
      <c r="H26" s="8" t="s">
        <v>229</v>
      </c>
      <c r="I26" s="8" t="s">
        <v>144</v>
      </c>
      <c r="J26" s="8" t="s">
        <v>230</v>
      </c>
      <c r="K26" s="9" t="n">
        <f aca="false">LEN(J26)</f>
        <v>53</v>
      </c>
      <c r="L26" s="8" t="s">
        <v>231</v>
      </c>
      <c r="M26" s="8" t="s">
        <v>59</v>
      </c>
      <c r="N26" s="8" t="s">
        <v>59</v>
      </c>
      <c r="O26" s="8" t="s">
        <v>232</v>
      </c>
      <c r="P26" s="10" t="s">
        <v>51</v>
      </c>
      <c r="Q26" s="10"/>
    </row>
    <row r="27" customFormat="false" ht="15" hidden="false" customHeight="false" outlineLevel="0" collapsed="false">
      <c r="A27" s="6" t="n">
        <v>26</v>
      </c>
      <c r="B27" s="7" t="n">
        <v>1</v>
      </c>
      <c r="C27" s="8" t="s">
        <v>197</v>
      </c>
      <c r="D27" s="8" t="s">
        <v>233</v>
      </c>
      <c r="E27" s="8" t="s">
        <v>234</v>
      </c>
      <c r="F27" s="8" t="str">
        <f aca="false">"https://ayurvedachalam.com"&amp;E27</f>
        <v>https://ayurvedachalam.com/therapies/greeva-vasti/</v>
      </c>
      <c r="G27" s="8" t="s">
        <v>235</v>
      </c>
      <c r="H27" s="8" t="s">
        <v>236</v>
      </c>
      <c r="I27" s="8" t="s">
        <v>144</v>
      </c>
      <c r="J27" s="8" t="s">
        <v>237</v>
      </c>
      <c r="K27" s="9" t="n">
        <f aca="false">LEN(J27)</f>
        <v>53</v>
      </c>
      <c r="L27" s="8" t="s">
        <v>238</v>
      </c>
      <c r="M27" s="8" t="s">
        <v>59</v>
      </c>
      <c r="N27" s="8" t="s">
        <v>59</v>
      </c>
      <c r="O27" s="8" t="s">
        <v>239</v>
      </c>
      <c r="P27" s="10" t="s">
        <v>51</v>
      </c>
      <c r="Q27" s="10"/>
    </row>
    <row r="28" customFormat="false" ht="23.85" hidden="false" customHeight="false" outlineLevel="0" collapsed="false">
      <c r="A28" s="6" t="n">
        <v>27</v>
      </c>
      <c r="B28" s="7" t="n">
        <v>1</v>
      </c>
      <c r="C28" s="8" t="s">
        <v>197</v>
      </c>
      <c r="D28" s="8" t="s">
        <v>240</v>
      </c>
      <c r="E28" s="8" t="s">
        <v>241</v>
      </c>
      <c r="F28" s="8" t="str">
        <f aca="false">"https://ayurvedachalam.com"&amp;E28</f>
        <v>https://ayurvedachalam.com/therapies/nasya/</v>
      </c>
      <c r="G28" s="8" t="s">
        <v>242</v>
      </c>
      <c r="H28" s="8" t="s">
        <v>243</v>
      </c>
      <c r="I28" s="8" t="s">
        <v>144</v>
      </c>
      <c r="J28" s="8" t="s">
        <v>244</v>
      </c>
      <c r="K28" s="9" t="n">
        <f aca="false">LEN(J28)</f>
        <v>54</v>
      </c>
      <c r="L28" s="8" t="s">
        <v>245</v>
      </c>
      <c r="M28" s="8" t="s">
        <v>49</v>
      </c>
      <c r="N28" s="8" t="s">
        <v>59</v>
      </c>
      <c r="O28" s="8" t="s">
        <v>246</v>
      </c>
      <c r="P28" s="10" t="s">
        <v>51</v>
      </c>
      <c r="Q28" s="10"/>
    </row>
    <row r="29" customFormat="false" ht="23.85" hidden="false" customHeight="false" outlineLevel="0" collapsed="false">
      <c r="A29" s="6" t="n">
        <v>28</v>
      </c>
      <c r="B29" s="7" t="n">
        <v>1</v>
      </c>
      <c r="C29" s="8" t="s">
        <v>197</v>
      </c>
      <c r="D29" s="8" t="s">
        <v>247</v>
      </c>
      <c r="E29" s="8" t="s">
        <v>248</v>
      </c>
      <c r="F29" s="8" t="str">
        <f aca="false">"https://ayurvedachalam.com"&amp;E29</f>
        <v>https://ayurvedachalam.com/therapies/ayurvedic-massage-calgary/</v>
      </c>
      <c r="G29" s="8" t="s">
        <v>249</v>
      </c>
      <c r="H29" s="8" t="s">
        <v>250</v>
      </c>
      <c r="I29" s="8" t="s">
        <v>144</v>
      </c>
      <c r="J29" s="8" t="s">
        <v>251</v>
      </c>
      <c r="K29" s="9" t="n">
        <f aca="false">LEN(J29)</f>
        <v>53</v>
      </c>
      <c r="L29" s="8" t="s">
        <v>252</v>
      </c>
      <c r="M29" s="8" t="s">
        <v>48</v>
      </c>
      <c r="N29" s="8" t="s">
        <v>49</v>
      </c>
      <c r="O29" s="8" t="s">
        <v>253</v>
      </c>
      <c r="P29" s="10" t="s">
        <v>51</v>
      </c>
      <c r="Q29" s="10"/>
    </row>
    <row r="30" customFormat="false" ht="15" hidden="false" customHeight="false" outlineLevel="0" collapsed="false">
      <c r="A30" s="6" t="n">
        <v>29</v>
      </c>
      <c r="B30" s="7" t="n">
        <v>1</v>
      </c>
      <c r="C30" s="8" t="s">
        <v>197</v>
      </c>
      <c r="D30" s="8" t="s">
        <v>254</v>
      </c>
      <c r="E30" s="8" t="s">
        <v>255</v>
      </c>
      <c r="F30" s="8" t="str">
        <f aca="false">"https://ayurvedachalam.com"&amp;E30</f>
        <v>https://ayurvedachalam.com/therapies/ayurvedic-skin-care/</v>
      </c>
      <c r="G30" s="8" t="s">
        <v>256</v>
      </c>
      <c r="H30" s="8" t="s">
        <v>257</v>
      </c>
      <c r="I30" s="8" t="s">
        <v>144</v>
      </c>
      <c r="J30" s="8" t="s">
        <v>258</v>
      </c>
      <c r="K30" s="9" t="n">
        <f aca="false">LEN(J30)</f>
        <v>41</v>
      </c>
      <c r="L30" s="8" t="s">
        <v>259</v>
      </c>
      <c r="M30" s="8" t="s">
        <v>49</v>
      </c>
      <c r="N30" s="8" t="s">
        <v>59</v>
      </c>
      <c r="O30" s="8" t="s">
        <v>260</v>
      </c>
      <c r="P30" s="10" t="s">
        <v>51</v>
      </c>
      <c r="Q30" s="10"/>
    </row>
    <row r="31" customFormat="false" ht="23.85" hidden="false" customHeight="false" outlineLevel="0" collapsed="false">
      <c r="A31" s="6" t="n">
        <v>30</v>
      </c>
      <c r="B31" s="7" t="n">
        <v>1</v>
      </c>
      <c r="C31" s="8" t="s">
        <v>197</v>
      </c>
      <c r="D31" s="8" t="s">
        <v>261</v>
      </c>
      <c r="E31" s="8" t="s">
        <v>262</v>
      </c>
      <c r="F31" s="8" t="str">
        <f aca="false">"https://ayurvedachalam.com"&amp;E31</f>
        <v>https://ayurvedachalam.com/therapies/panchakarma/</v>
      </c>
      <c r="G31" s="8" t="s">
        <v>263</v>
      </c>
      <c r="H31" s="8" t="s">
        <v>264</v>
      </c>
      <c r="I31" s="8" t="s">
        <v>144</v>
      </c>
      <c r="J31" s="8" t="s">
        <v>265</v>
      </c>
      <c r="K31" s="9" t="n">
        <f aca="false">LEN(J31)</f>
        <v>52</v>
      </c>
      <c r="L31" s="8" t="s">
        <v>266</v>
      </c>
      <c r="M31" s="8" t="s">
        <v>49</v>
      </c>
      <c r="N31" s="8" t="s">
        <v>49</v>
      </c>
      <c r="O31" s="8" t="s">
        <v>267</v>
      </c>
      <c r="P31" s="10" t="s">
        <v>51</v>
      </c>
      <c r="Q31" s="10"/>
    </row>
    <row r="32" customFormat="false" ht="15" hidden="false" customHeight="false" outlineLevel="0" collapsed="false">
      <c r="A32" s="6" t="n">
        <v>31</v>
      </c>
      <c r="B32" s="12" t="n">
        <v>2</v>
      </c>
      <c r="C32" s="8" t="s">
        <v>197</v>
      </c>
      <c r="D32" s="8" t="s">
        <v>268</v>
      </c>
      <c r="E32" s="8" t="s">
        <v>269</v>
      </c>
      <c r="F32" s="8" t="str">
        <f aca="false">"https://ayurvedachalam.com"&amp;E32</f>
        <v>https://ayurvedachalam.com/therapies/indian-head-massage/</v>
      </c>
      <c r="G32" s="8" t="s">
        <v>270</v>
      </c>
      <c r="H32" s="8" t="s">
        <v>271</v>
      </c>
      <c r="I32" s="8" t="s">
        <v>144</v>
      </c>
      <c r="J32" s="8" t="s">
        <v>272</v>
      </c>
      <c r="K32" s="9" t="n">
        <f aca="false">LEN(J32)</f>
        <v>47</v>
      </c>
      <c r="L32" s="8" t="s">
        <v>273</v>
      </c>
      <c r="M32" s="8" t="s">
        <v>48</v>
      </c>
      <c r="N32" s="8" t="s">
        <v>49</v>
      </c>
      <c r="O32" s="8" t="s">
        <v>274</v>
      </c>
      <c r="P32" s="10" t="s">
        <v>51</v>
      </c>
      <c r="Q32" s="10"/>
    </row>
    <row r="33" customFormat="false" ht="15" hidden="false" customHeight="false" outlineLevel="0" collapsed="false">
      <c r="A33" s="6" t="n">
        <v>32</v>
      </c>
      <c r="B33" s="12" t="n">
        <v>2</v>
      </c>
      <c r="C33" s="8" t="s">
        <v>197</v>
      </c>
      <c r="D33" s="8" t="s">
        <v>275</v>
      </c>
      <c r="E33" s="8" t="s">
        <v>276</v>
      </c>
      <c r="F33" s="8" t="str">
        <f aca="false">"https://ayurvedachalam.com"&amp;E33</f>
        <v>https://ayurvedachalam.com/therapies/ayurvedic-foot-massage/</v>
      </c>
      <c r="G33" s="8" t="s">
        <v>277</v>
      </c>
      <c r="H33" s="8" t="s">
        <v>278</v>
      </c>
      <c r="I33" s="8" t="s">
        <v>144</v>
      </c>
      <c r="J33" s="8" t="s">
        <v>279</v>
      </c>
      <c r="K33" s="9" t="n">
        <f aca="false">LEN(J33)</f>
        <v>49</v>
      </c>
      <c r="L33" s="8" t="s">
        <v>280</v>
      </c>
      <c r="M33" s="8" t="s">
        <v>49</v>
      </c>
      <c r="N33" s="8" t="s">
        <v>59</v>
      </c>
      <c r="O33" s="8" t="s">
        <v>281</v>
      </c>
      <c r="P33" s="10" t="s">
        <v>51</v>
      </c>
      <c r="Q33" s="10"/>
    </row>
    <row r="34" customFormat="false" ht="15" hidden="false" customHeight="false" outlineLevel="0" collapsed="false">
      <c r="A34" s="6" t="n">
        <v>33</v>
      </c>
      <c r="B34" s="12" t="n">
        <v>2</v>
      </c>
      <c r="C34" s="8" t="s">
        <v>197</v>
      </c>
      <c r="D34" s="8" t="s">
        <v>282</v>
      </c>
      <c r="E34" s="8" t="s">
        <v>283</v>
      </c>
      <c r="F34" s="8" t="str">
        <f aca="false">"https://ayurvedachalam.com"&amp;E34</f>
        <v>https://ayurvedachalam.com/therapies/udvartana/</v>
      </c>
      <c r="G34" s="8" t="s">
        <v>284</v>
      </c>
      <c r="H34" s="8" t="s">
        <v>285</v>
      </c>
      <c r="I34" s="8" t="s">
        <v>144</v>
      </c>
      <c r="J34" s="8" t="s">
        <v>286</v>
      </c>
      <c r="K34" s="9" t="n">
        <f aca="false">LEN(J34)</f>
        <v>44</v>
      </c>
      <c r="L34" s="8" t="s">
        <v>287</v>
      </c>
      <c r="M34" s="8" t="s">
        <v>59</v>
      </c>
      <c r="N34" s="8" t="s">
        <v>59</v>
      </c>
      <c r="O34" s="8" t="s">
        <v>288</v>
      </c>
      <c r="P34" s="10" t="s">
        <v>51</v>
      </c>
      <c r="Q34" s="10"/>
    </row>
    <row r="35" customFormat="false" ht="15" hidden="false" customHeight="false" outlineLevel="0" collapsed="false">
      <c r="A35" s="6" t="n">
        <v>34</v>
      </c>
      <c r="B35" s="12" t="n">
        <v>2</v>
      </c>
      <c r="C35" s="8" t="s">
        <v>197</v>
      </c>
      <c r="D35" s="8" t="s">
        <v>289</v>
      </c>
      <c r="E35" s="8" t="s">
        <v>290</v>
      </c>
      <c r="F35" s="8" t="str">
        <f aca="false">"https://ayurvedachalam.com"&amp;E35</f>
        <v>https://ayurvedachalam.com/therapies/kizhi-potli-massage/</v>
      </c>
      <c r="G35" s="8" t="s">
        <v>291</v>
      </c>
      <c r="H35" s="8" t="s">
        <v>292</v>
      </c>
      <c r="I35" s="8" t="s">
        <v>144</v>
      </c>
      <c r="J35" s="8" t="s">
        <v>293</v>
      </c>
      <c r="K35" s="9" t="n">
        <f aca="false">LEN(J35)</f>
        <v>48</v>
      </c>
      <c r="L35" s="8" t="s">
        <v>294</v>
      </c>
      <c r="M35" s="8" t="s">
        <v>49</v>
      </c>
      <c r="N35" s="8" t="s">
        <v>59</v>
      </c>
      <c r="O35" s="8" t="s">
        <v>295</v>
      </c>
      <c r="P35" s="10" t="s">
        <v>51</v>
      </c>
      <c r="Q35" s="10"/>
    </row>
    <row r="36" customFormat="false" ht="23.85" hidden="false" customHeight="false" outlineLevel="0" collapsed="false">
      <c r="A36" s="6" t="n">
        <v>35</v>
      </c>
      <c r="B36" s="12" t="n">
        <v>2</v>
      </c>
      <c r="C36" s="8" t="s">
        <v>197</v>
      </c>
      <c r="D36" s="8" t="s">
        <v>296</v>
      </c>
      <c r="E36" s="8" t="s">
        <v>297</v>
      </c>
      <c r="F36" s="8" t="str">
        <f aca="false">"https://ayurvedachalam.com"&amp;E36</f>
        <v>https://ayurvedachalam.com/therapies/pizhichil/</v>
      </c>
      <c r="G36" s="8" t="s">
        <v>298</v>
      </c>
      <c r="H36" s="8" t="s">
        <v>299</v>
      </c>
      <c r="I36" s="8" t="s">
        <v>144</v>
      </c>
      <c r="J36" s="8" t="s">
        <v>300</v>
      </c>
      <c r="K36" s="9" t="n">
        <f aca="false">LEN(J36)</f>
        <v>44</v>
      </c>
      <c r="L36" s="8" t="s">
        <v>301</v>
      </c>
      <c r="M36" s="8" t="s">
        <v>59</v>
      </c>
      <c r="N36" s="8" t="s">
        <v>59</v>
      </c>
      <c r="O36" s="8" t="s">
        <v>302</v>
      </c>
      <c r="P36" s="10" t="s">
        <v>51</v>
      </c>
      <c r="Q36" s="10"/>
    </row>
    <row r="37" customFormat="false" ht="15" hidden="false" customHeight="false" outlineLevel="0" collapsed="false">
      <c r="A37" s="6" t="n">
        <v>36</v>
      </c>
      <c r="B37" s="12" t="n">
        <v>2</v>
      </c>
      <c r="C37" s="8" t="s">
        <v>197</v>
      </c>
      <c r="D37" s="8" t="s">
        <v>303</v>
      </c>
      <c r="E37" s="8" t="s">
        <v>304</v>
      </c>
      <c r="F37" s="8" t="str">
        <f aca="false">"https://ayurvedachalam.com"&amp;E37</f>
        <v>https://ayurvedachalam.com/therapies/swedana-herbal-steam/</v>
      </c>
      <c r="G37" s="8" t="s">
        <v>305</v>
      </c>
      <c r="H37" s="8" t="s">
        <v>306</v>
      </c>
      <c r="I37" s="8" t="s">
        <v>144</v>
      </c>
      <c r="J37" s="8" t="s">
        <v>307</v>
      </c>
      <c r="K37" s="9" t="n">
        <f aca="false">LEN(J37)</f>
        <v>39</v>
      </c>
      <c r="L37" s="8" t="s">
        <v>308</v>
      </c>
      <c r="M37" s="8" t="s">
        <v>59</v>
      </c>
      <c r="N37" s="8" t="s">
        <v>59</v>
      </c>
      <c r="O37" s="8" t="s">
        <v>309</v>
      </c>
      <c r="P37" s="10" t="s">
        <v>51</v>
      </c>
      <c r="Q37" s="10"/>
    </row>
    <row r="38" customFormat="false" ht="23.85" hidden="false" customHeight="false" outlineLevel="0" collapsed="false">
      <c r="A38" s="6" t="n">
        <v>37</v>
      </c>
      <c r="B38" s="12" t="n">
        <v>2</v>
      </c>
      <c r="C38" s="8" t="s">
        <v>197</v>
      </c>
      <c r="D38" s="8" t="s">
        <v>310</v>
      </c>
      <c r="E38" s="8" t="s">
        <v>311</v>
      </c>
      <c r="F38" s="8" t="str">
        <f aca="false">"https://ayurvedachalam.com"&amp;E38</f>
        <v>https://ayurvedachalam.com/therapies/marma-therapy/</v>
      </c>
      <c r="G38" s="8" t="s">
        <v>312</v>
      </c>
      <c r="H38" s="8" t="s">
        <v>313</v>
      </c>
      <c r="I38" s="8" t="s">
        <v>144</v>
      </c>
      <c r="J38" s="8" t="s">
        <v>314</v>
      </c>
      <c r="K38" s="9" t="n">
        <f aca="false">LEN(J38)</f>
        <v>52</v>
      </c>
      <c r="L38" s="8" t="s">
        <v>315</v>
      </c>
      <c r="M38" s="8" t="s">
        <v>59</v>
      </c>
      <c r="N38" s="8" t="s">
        <v>59</v>
      </c>
      <c r="O38" s="8" t="s">
        <v>316</v>
      </c>
      <c r="P38" s="10" t="s">
        <v>51</v>
      </c>
      <c r="Q38" s="10"/>
    </row>
    <row r="39" customFormat="false" ht="15" hidden="false" customHeight="false" outlineLevel="0" collapsed="false">
      <c r="A39" s="6" t="n">
        <v>38</v>
      </c>
      <c r="B39" s="12" t="n">
        <v>2</v>
      </c>
      <c r="C39" s="8" t="s">
        <v>197</v>
      </c>
      <c r="D39" s="8" t="s">
        <v>317</v>
      </c>
      <c r="E39" s="8" t="s">
        <v>318</v>
      </c>
      <c r="F39" s="8" t="str">
        <f aca="false">"https://ayurvedachalam.com"&amp;E39</f>
        <v>https://ayurvedachalam.com/therapies/ayurvedic-facial/</v>
      </c>
      <c r="G39" s="8" t="s">
        <v>319</v>
      </c>
      <c r="H39" s="8" t="s">
        <v>320</v>
      </c>
      <c r="I39" s="8" t="s">
        <v>144</v>
      </c>
      <c r="J39" s="8" t="s">
        <v>321</v>
      </c>
      <c r="K39" s="9" t="n">
        <f aca="false">LEN(J39)</f>
        <v>41</v>
      </c>
      <c r="L39" s="8" t="s">
        <v>322</v>
      </c>
      <c r="M39" s="8" t="s">
        <v>49</v>
      </c>
      <c r="N39" s="8" t="s">
        <v>49</v>
      </c>
      <c r="O39" s="8" t="s">
        <v>323</v>
      </c>
      <c r="P39" s="10" t="s">
        <v>51</v>
      </c>
      <c r="Q39" s="10"/>
    </row>
    <row r="40" customFormat="false" ht="15" hidden="false" customHeight="false" outlineLevel="0" collapsed="false">
      <c r="A40" s="6" t="n">
        <v>39</v>
      </c>
      <c r="B40" s="12" t="n">
        <v>2</v>
      </c>
      <c r="C40" s="8" t="s">
        <v>197</v>
      </c>
      <c r="D40" s="8" t="s">
        <v>324</v>
      </c>
      <c r="E40" s="8" t="s">
        <v>325</v>
      </c>
      <c r="F40" s="8" t="str">
        <f aca="false">"https://ayurvedachalam.com"&amp;E40</f>
        <v>https://ayurvedachalam.com/therapies/ayurvedic-hair-scalp-therapy/</v>
      </c>
      <c r="G40" s="8" t="s">
        <v>326</v>
      </c>
      <c r="H40" s="8" t="s">
        <v>327</v>
      </c>
      <c r="I40" s="8" t="s">
        <v>144</v>
      </c>
      <c r="J40" s="8" t="s">
        <v>328</v>
      </c>
      <c r="K40" s="9" t="n">
        <f aca="false">LEN(J40)</f>
        <v>41</v>
      </c>
      <c r="L40" s="8" t="s">
        <v>329</v>
      </c>
      <c r="M40" s="8" t="s">
        <v>49</v>
      </c>
      <c r="N40" s="8" t="s">
        <v>59</v>
      </c>
      <c r="O40" s="8" t="s">
        <v>330</v>
      </c>
      <c r="P40" s="10" t="s">
        <v>51</v>
      </c>
      <c r="Q40" s="10"/>
    </row>
    <row r="41" customFormat="false" ht="23.85" hidden="false" customHeight="false" outlineLevel="0" collapsed="false">
      <c r="A41" s="6" t="n">
        <v>40</v>
      </c>
      <c r="B41" s="12" t="n">
        <v>2</v>
      </c>
      <c r="C41" s="8" t="s">
        <v>197</v>
      </c>
      <c r="D41" s="8" t="s">
        <v>331</v>
      </c>
      <c r="E41" s="8" t="s">
        <v>332</v>
      </c>
      <c r="F41" s="8" t="str">
        <f aca="false">"https://ayurvedachalam.com"&amp;E41</f>
        <v>https://ayurvedachalam.com/therapies/postnatal-ayurvedic-massage/</v>
      </c>
      <c r="G41" s="8" t="s">
        <v>333</v>
      </c>
      <c r="H41" s="8" t="s">
        <v>334</v>
      </c>
      <c r="I41" s="8" t="s">
        <v>144</v>
      </c>
      <c r="J41" s="8" t="s">
        <v>335</v>
      </c>
      <c r="K41" s="9" t="n">
        <f aca="false">LEN(J41)</f>
        <v>56</v>
      </c>
      <c r="L41" s="8" t="s">
        <v>336</v>
      </c>
      <c r="M41" s="8" t="s">
        <v>49</v>
      </c>
      <c r="N41" s="8" t="s">
        <v>59</v>
      </c>
      <c r="O41" s="8" t="s">
        <v>337</v>
      </c>
      <c r="P41" s="10" t="s">
        <v>51</v>
      </c>
      <c r="Q41" s="10"/>
    </row>
    <row r="42" customFormat="false" ht="23.85" hidden="false" customHeight="false" outlineLevel="0" collapsed="false">
      <c r="A42" s="6" t="n">
        <v>41</v>
      </c>
      <c r="B42" s="12" t="n">
        <v>2</v>
      </c>
      <c r="C42" s="8" t="s">
        <v>338</v>
      </c>
      <c r="D42" s="8" t="s">
        <v>339</v>
      </c>
      <c r="E42" s="8" t="s">
        <v>340</v>
      </c>
      <c r="F42" s="8" t="str">
        <f aca="false">"https://ayurvedachalam.com"&amp;E42</f>
        <v>https://ayurvedachalam.com/massage-therapy/</v>
      </c>
      <c r="G42" s="8" t="s">
        <v>341</v>
      </c>
      <c r="H42" s="8" t="s">
        <v>342</v>
      </c>
      <c r="I42" s="8" t="s">
        <v>144</v>
      </c>
      <c r="J42" s="8" t="s">
        <v>343</v>
      </c>
      <c r="K42" s="9" t="n">
        <f aca="false">LEN(J42)</f>
        <v>54</v>
      </c>
      <c r="L42" s="8" t="s">
        <v>344</v>
      </c>
      <c r="M42" s="8" t="s">
        <v>48</v>
      </c>
      <c r="N42" s="8" t="s">
        <v>48</v>
      </c>
      <c r="O42" s="8" t="s">
        <v>345</v>
      </c>
      <c r="P42" s="10" t="s">
        <v>51</v>
      </c>
      <c r="Q42" s="10"/>
    </row>
    <row r="43" customFormat="false" ht="23.85" hidden="false" customHeight="false" outlineLevel="0" collapsed="false">
      <c r="A43" s="6" t="n">
        <v>42</v>
      </c>
      <c r="B43" s="12" t="n">
        <v>2</v>
      </c>
      <c r="C43" s="8" t="s">
        <v>338</v>
      </c>
      <c r="D43" s="8" t="s">
        <v>346</v>
      </c>
      <c r="E43" s="8" t="s">
        <v>347</v>
      </c>
      <c r="F43" s="8" t="str">
        <f aca="false">"https://ayurvedachalam.com"&amp;E43</f>
        <v>https://ayurvedachalam.com/massage-therapy/deep-tissue-massage/</v>
      </c>
      <c r="G43" s="8" t="s">
        <v>348</v>
      </c>
      <c r="H43" s="8" t="s">
        <v>349</v>
      </c>
      <c r="I43" s="8" t="s">
        <v>144</v>
      </c>
      <c r="J43" s="8" t="s">
        <v>350</v>
      </c>
      <c r="K43" s="9" t="n">
        <f aca="false">LEN(J43)</f>
        <v>36</v>
      </c>
      <c r="L43" s="8" t="s">
        <v>351</v>
      </c>
      <c r="M43" s="8" t="s">
        <v>48</v>
      </c>
      <c r="N43" s="8" t="s">
        <v>48</v>
      </c>
      <c r="O43" s="8" t="s">
        <v>352</v>
      </c>
      <c r="P43" s="10" t="s">
        <v>51</v>
      </c>
      <c r="Q43" s="10"/>
    </row>
    <row r="44" customFormat="false" ht="15" hidden="false" customHeight="false" outlineLevel="0" collapsed="false">
      <c r="A44" s="6" t="n">
        <v>43</v>
      </c>
      <c r="B44" s="12" t="n">
        <v>2</v>
      </c>
      <c r="C44" s="8" t="s">
        <v>338</v>
      </c>
      <c r="D44" s="8" t="s">
        <v>353</v>
      </c>
      <c r="E44" s="8" t="s">
        <v>354</v>
      </c>
      <c r="F44" s="8" t="str">
        <f aca="false">"https://ayurvedachalam.com"&amp;E44</f>
        <v>https://ayurvedachalam.com/massage-therapy/reflexology/</v>
      </c>
      <c r="G44" s="8" t="s">
        <v>355</v>
      </c>
      <c r="H44" s="8" t="s">
        <v>356</v>
      </c>
      <c r="I44" s="8" t="s">
        <v>144</v>
      </c>
      <c r="J44" s="8" t="s">
        <v>357</v>
      </c>
      <c r="K44" s="9" t="n">
        <f aca="false">LEN(J44)</f>
        <v>39</v>
      </c>
      <c r="L44" s="8" t="s">
        <v>353</v>
      </c>
      <c r="M44" s="8" t="s">
        <v>48</v>
      </c>
      <c r="N44" s="8" t="s">
        <v>48</v>
      </c>
      <c r="O44" s="8" t="s">
        <v>358</v>
      </c>
      <c r="P44" s="10" t="s">
        <v>51</v>
      </c>
      <c r="Q44" s="10"/>
    </row>
    <row r="45" customFormat="false" ht="23.85" hidden="false" customHeight="false" outlineLevel="0" collapsed="false">
      <c r="A45" s="6" t="n">
        <v>44</v>
      </c>
      <c r="B45" s="12" t="n">
        <v>2</v>
      </c>
      <c r="C45" s="8" t="s">
        <v>338</v>
      </c>
      <c r="D45" s="8" t="s">
        <v>359</v>
      </c>
      <c r="E45" s="8" t="s">
        <v>360</v>
      </c>
      <c r="F45" s="8" t="str">
        <f aca="false">"https://ayurvedachalam.com"&amp;E45</f>
        <v>https://ayurvedachalam.com/massage-therapy/mobile-massage-calgary/</v>
      </c>
      <c r="G45" s="8" t="s">
        <v>361</v>
      </c>
      <c r="H45" s="8" t="s">
        <v>362</v>
      </c>
      <c r="I45" s="8" t="s">
        <v>144</v>
      </c>
      <c r="J45" s="8" t="s">
        <v>363</v>
      </c>
      <c r="K45" s="9" t="n">
        <f aca="false">LEN(J45)</f>
        <v>39</v>
      </c>
      <c r="L45" s="8" t="s">
        <v>364</v>
      </c>
      <c r="M45" s="8" t="s">
        <v>48</v>
      </c>
      <c r="N45" s="8" t="s">
        <v>49</v>
      </c>
      <c r="O45" s="8" t="s">
        <v>365</v>
      </c>
      <c r="P45" s="10" t="s">
        <v>51</v>
      </c>
      <c r="Q45" s="10"/>
    </row>
    <row r="46" customFormat="false" ht="23.85" hidden="false" customHeight="false" outlineLevel="0" collapsed="false">
      <c r="A46" s="6" t="n">
        <v>45</v>
      </c>
      <c r="B46" s="7" t="n">
        <v>1</v>
      </c>
      <c r="C46" s="8" t="s">
        <v>366</v>
      </c>
      <c r="D46" s="8" t="s">
        <v>367</v>
      </c>
      <c r="E46" s="8" t="s">
        <v>368</v>
      </c>
      <c r="F46" s="8" t="str">
        <f aca="false">"https://ayurvedachalam.com"&amp;E46</f>
        <v>https://ayurvedachalam.com/spiritual-healing/</v>
      </c>
      <c r="G46" s="8" t="s">
        <v>369</v>
      </c>
      <c r="H46" s="8" t="s">
        <v>370</v>
      </c>
      <c r="I46" s="8" t="s">
        <v>144</v>
      </c>
      <c r="J46" s="8" t="s">
        <v>371</v>
      </c>
      <c r="K46" s="9" t="n">
        <f aca="false">LEN(J46)</f>
        <v>56</v>
      </c>
      <c r="L46" s="8" t="s">
        <v>372</v>
      </c>
      <c r="M46" s="8" t="s">
        <v>49</v>
      </c>
      <c r="N46" s="8" t="s">
        <v>49</v>
      </c>
      <c r="O46" s="8" t="s">
        <v>373</v>
      </c>
      <c r="P46" s="10" t="s">
        <v>51</v>
      </c>
      <c r="Q46" s="10"/>
    </row>
    <row r="47" customFormat="false" ht="23.85" hidden="false" customHeight="false" outlineLevel="0" collapsed="false">
      <c r="A47" s="6" t="n">
        <v>46</v>
      </c>
      <c r="B47" s="7" t="n">
        <v>1</v>
      </c>
      <c r="C47" s="8" t="s">
        <v>366</v>
      </c>
      <c r="D47" s="8" t="s">
        <v>374</v>
      </c>
      <c r="E47" s="8" t="s">
        <v>375</v>
      </c>
      <c r="F47" s="8" t="str">
        <f aca="false">"https://ayurvedachalam.com"&amp;E47</f>
        <v>https://ayurvedachalam.com/spiritual-healing/energy-healing-session/</v>
      </c>
      <c r="G47" s="8" t="s">
        <v>376</v>
      </c>
      <c r="H47" s="8" t="s">
        <v>377</v>
      </c>
      <c r="I47" s="8" t="s">
        <v>75</v>
      </c>
      <c r="J47" s="8" t="s">
        <v>378</v>
      </c>
      <c r="K47" s="9" t="n">
        <f aca="false">LEN(J47)</f>
        <v>53</v>
      </c>
      <c r="L47" s="8" t="s">
        <v>379</v>
      </c>
      <c r="M47" s="8" t="s">
        <v>49</v>
      </c>
      <c r="N47" s="8" t="s">
        <v>49</v>
      </c>
      <c r="O47" s="8" t="s">
        <v>380</v>
      </c>
      <c r="P47" s="10" t="s">
        <v>51</v>
      </c>
      <c r="Q47" s="10"/>
    </row>
    <row r="48" customFormat="false" ht="23.85" hidden="false" customHeight="false" outlineLevel="0" collapsed="false">
      <c r="A48" s="6" t="n">
        <v>47</v>
      </c>
      <c r="B48" s="12" t="n">
        <v>2</v>
      </c>
      <c r="C48" s="8" t="s">
        <v>366</v>
      </c>
      <c r="D48" s="8" t="s">
        <v>381</v>
      </c>
      <c r="E48" s="8" t="s">
        <v>382</v>
      </c>
      <c r="F48" s="8" t="str">
        <f aca="false">"https://ayurvedachalam.com"&amp;E48</f>
        <v>https://ayurvedachalam.com/spiritual-healing/distance-healing/</v>
      </c>
      <c r="G48" s="8" t="s">
        <v>383</v>
      </c>
      <c r="H48" s="8" t="s">
        <v>384</v>
      </c>
      <c r="I48" s="8" t="s">
        <v>75</v>
      </c>
      <c r="J48" s="8" t="s">
        <v>385</v>
      </c>
      <c r="K48" s="9" t="n">
        <f aca="false">LEN(J48)</f>
        <v>48</v>
      </c>
      <c r="L48" s="8" t="s">
        <v>386</v>
      </c>
      <c r="M48" s="8" t="s">
        <v>49</v>
      </c>
      <c r="N48" s="8" t="s">
        <v>49</v>
      </c>
      <c r="O48" s="8" t="s">
        <v>387</v>
      </c>
      <c r="P48" s="10" t="s">
        <v>51</v>
      </c>
      <c r="Q48" s="10"/>
    </row>
    <row r="49" customFormat="false" ht="15" hidden="false" customHeight="false" outlineLevel="0" collapsed="false">
      <c r="A49" s="6" t="n">
        <v>48</v>
      </c>
      <c r="B49" s="12" t="n">
        <v>2</v>
      </c>
      <c r="C49" s="8" t="s">
        <v>366</v>
      </c>
      <c r="D49" s="8" t="s">
        <v>388</v>
      </c>
      <c r="E49" s="8" t="s">
        <v>389</v>
      </c>
      <c r="F49" s="8" t="str">
        <f aca="false">"https://ayurvedachalam.com"&amp;E49</f>
        <v>https://ayurvedachalam.com/spiritual-healing/chakra-balancing/</v>
      </c>
      <c r="G49" s="8" t="s">
        <v>390</v>
      </c>
      <c r="H49" s="8" t="s">
        <v>391</v>
      </c>
      <c r="I49" s="8" t="s">
        <v>144</v>
      </c>
      <c r="J49" s="8" t="s">
        <v>392</v>
      </c>
      <c r="K49" s="9" t="n">
        <f aca="false">LEN(J49)</f>
        <v>44</v>
      </c>
      <c r="L49" s="8" t="s">
        <v>393</v>
      </c>
      <c r="M49" s="8" t="s">
        <v>49</v>
      </c>
      <c r="N49" s="8" t="s">
        <v>49</v>
      </c>
      <c r="O49" s="8" t="s">
        <v>394</v>
      </c>
      <c r="P49" s="10" t="s">
        <v>51</v>
      </c>
      <c r="Q49" s="10"/>
    </row>
    <row r="50" customFormat="false" ht="23.85" hidden="false" customHeight="false" outlineLevel="0" collapsed="false">
      <c r="A50" s="6" t="n">
        <v>49</v>
      </c>
      <c r="B50" s="12" t="n">
        <v>2</v>
      </c>
      <c r="C50" s="8" t="s">
        <v>366</v>
      </c>
      <c r="D50" s="8" t="s">
        <v>395</v>
      </c>
      <c r="E50" s="8" t="s">
        <v>396</v>
      </c>
      <c r="F50" s="8" t="str">
        <f aca="false">"https://ayurvedachalam.com"&amp;E50</f>
        <v>https://ayurvedachalam.com/spiritual-healing/what-is-spiritual-healing/</v>
      </c>
      <c r="G50" s="8" t="s">
        <v>397</v>
      </c>
      <c r="H50" s="8" t="s">
        <v>398</v>
      </c>
      <c r="I50" s="8" t="s">
        <v>114</v>
      </c>
      <c r="J50" s="8" t="s">
        <v>399</v>
      </c>
      <c r="K50" s="9" t="n">
        <f aca="false">LEN(J50)</f>
        <v>52</v>
      </c>
      <c r="L50" s="8" t="s">
        <v>400</v>
      </c>
      <c r="M50" s="8" t="s">
        <v>49</v>
      </c>
      <c r="N50" s="8" t="s">
        <v>49</v>
      </c>
      <c r="O50" s="8" t="s">
        <v>401</v>
      </c>
      <c r="P50" s="10" t="s">
        <v>51</v>
      </c>
      <c r="Q50" s="10"/>
    </row>
    <row r="51" customFormat="false" ht="23.85" hidden="false" customHeight="false" outlineLevel="0" collapsed="false">
      <c r="A51" s="6" t="n">
        <v>50</v>
      </c>
      <c r="B51" s="12" t="n">
        <v>2</v>
      </c>
      <c r="C51" s="8" t="s">
        <v>366</v>
      </c>
      <c r="D51" s="8" t="s">
        <v>402</v>
      </c>
      <c r="E51" s="8" t="s">
        <v>403</v>
      </c>
      <c r="F51" s="8" t="str">
        <f aca="false">"https://ayurvedachalam.com"&amp;E51</f>
        <v>https://ayurvedachalam.com/spiritual-healing/certified-spiritual-healer-alberta/</v>
      </c>
      <c r="G51" s="8" t="s">
        <v>404</v>
      </c>
      <c r="H51" s="8" t="s">
        <v>405</v>
      </c>
      <c r="I51" s="8" t="s">
        <v>114</v>
      </c>
      <c r="J51" s="8" t="s">
        <v>406</v>
      </c>
      <c r="K51" s="9" t="n">
        <f aca="false">LEN(J51)</f>
        <v>51</v>
      </c>
      <c r="L51" s="8" t="s">
        <v>407</v>
      </c>
      <c r="M51" s="8" t="s">
        <v>59</v>
      </c>
      <c r="N51" s="8" t="s">
        <v>59</v>
      </c>
      <c r="O51" s="8" t="s">
        <v>408</v>
      </c>
      <c r="P51" s="10" t="s">
        <v>51</v>
      </c>
      <c r="Q51" s="10"/>
    </row>
    <row r="52" customFormat="false" ht="23.85" hidden="false" customHeight="false" outlineLevel="0" collapsed="false">
      <c r="A52" s="6" t="n">
        <v>51</v>
      </c>
      <c r="B52" s="12" t="n">
        <v>2</v>
      </c>
      <c r="C52" s="8" t="s">
        <v>366</v>
      </c>
      <c r="D52" s="8" t="s">
        <v>409</v>
      </c>
      <c r="E52" s="8" t="s">
        <v>410</v>
      </c>
      <c r="F52" s="8" t="str">
        <f aca="false">"https://ayurvedachalam.com"&amp;E52</f>
        <v>https://ayurvedachalam.com/spiritual-healing/stress-and-emotional-balance/</v>
      </c>
      <c r="G52" s="8" t="s">
        <v>411</v>
      </c>
      <c r="H52" s="8" t="s">
        <v>412</v>
      </c>
      <c r="I52" s="8" t="s">
        <v>66</v>
      </c>
      <c r="J52" s="8" t="s">
        <v>413</v>
      </c>
      <c r="K52" s="9" t="n">
        <f aca="false">LEN(J52)</f>
        <v>50</v>
      </c>
      <c r="L52" s="8" t="s">
        <v>414</v>
      </c>
      <c r="M52" s="8" t="s">
        <v>59</v>
      </c>
      <c r="N52" s="8" t="s">
        <v>59</v>
      </c>
      <c r="O52" s="8" t="s">
        <v>415</v>
      </c>
      <c r="P52" s="10" t="s">
        <v>51</v>
      </c>
      <c r="Q52" s="10"/>
    </row>
    <row r="53" customFormat="false" ht="23.85" hidden="false" customHeight="false" outlineLevel="0" collapsed="false">
      <c r="A53" s="6" t="n">
        <v>52</v>
      </c>
      <c r="B53" s="12" t="n">
        <v>2</v>
      </c>
      <c r="C53" s="8" t="s">
        <v>366</v>
      </c>
      <c r="D53" s="8" t="s">
        <v>416</v>
      </c>
      <c r="E53" s="8" t="s">
        <v>417</v>
      </c>
      <c r="F53" s="8" t="str">
        <f aca="false">"https://ayurvedachalam.com"&amp;E53</f>
        <v>https://ayurvedachalam.com/spiritual-healing/ayurveda-and-spiritual-healing/</v>
      </c>
      <c r="G53" s="8" t="s">
        <v>418</v>
      </c>
      <c r="H53" s="8" t="s">
        <v>419</v>
      </c>
      <c r="I53" s="8" t="s">
        <v>66</v>
      </c>
      <c r="J53" s="8" t="s">
        <v>420</v>
      </c>
      <c r="K53" s="9" t="n">
        <f aca="false">LEN(J53)</f>
        <v>55</v>
      </c>
      <c r="L53" s="8" t="s">
        <v>421</v>
      </c>
      <c r="M53" s="8" t="s">
        <v>59</v>
      </c>
      <c r="N53" s="8" t="s">
        <v>59</v>
      </c>
      <c r="O53" s="8" t="s">
        <v>422</v>
      </c>
      <c r="P53" s="10" t="s">
        <v>51</v>
      </c>
      <c r="Q53" s="10"/>
    </row>
    <row r="54" customFormat="false" ht="23.85" hidden="false" customHeight="false" outlineLevel="0" collapsed="false">
      <c r="A54" s="6" t="n">
        <v>53</v>
      </c>
      <c r="B54" s="12" t="n">
        <v>2</v>
      </c>
      <c r="C54" s="8" t="s">
        <v>423</v>
      </c>
      <c r="D54" s="8" t="s">
        <v>424</v>
      </c>
      <c r="E54" s="8" t="s">
        <v>425</v>
      </c>
      <c r="F54" s="8" t="str">
        <f aca="false">"https://ayurvedachalam.com"&amp;E54</f>
        <v>https://ayurvedachalam.com/concerns/</v>
      </c>
      <c r="G54" s="8" t="s">
        <v>426</v>
      </c>
      <c r="H54" s="8" t="s">
        <v>427</v>
      </c>
      <c r="I54" s="8" t="s">
        <v>114</v>
      </c>
      <c r="J54" s="8" t="s">
        <v>428</v>
      </c>
      <c r="K54" s="9" t="n">
        <f aca="false">LEN(J54)</f>
        <v>47</v>
      </c>
      <c r="L54" s="8" t="s">
        <v>429</v>
      </c>
      <c r="M54" s="8" t="s">
        <v>59</v>
      </c>
      <c r="N54" s="8" t="s">
        <v>59</v>
      </c>
      <c r="O54" s="8" t="s">
        <v>430</v>
      </c>
      <c r="P54" s="10" t="s">
        <v>51</v>
      </c>
      <c r="Q54" s="10"/>
    </row>
    <row r="55" customFormat="false" ht="23.85" hidden="false" customHeight="false" outlineLevel="0" collapsed="false">
      <c r="A55" s="6" t="n">
        <v>54</v>
      </c>
      <c r="B55" s="12" t="n">
        <v>2</v>
      </c>
      <c r="C55" s="8" t="s">
        <v>423</v>
      </c>
      <c r="D55" s="8" t="s">
        <v>431</v>
      </c>
      <c r="E55" s="8" t="s">
        <v>432</v>
      </c>
      <c r="F55" s="8" t="str">
        <f aca="false">"https://ayurvedachalam.com"&amp;E55</f>
        <v>https://ayurvedachalam.com/concerns/lower-back-pain/</v>
      </c>
      <c r="G55" s="8" t="s">
        <v>433</v>
      </c>
      <c r="H55" s="8" t="s">
        <v>434</v>
      </c>
      <c r="I55" s="8" t="s">
        <v>435</v>
      </c>
      <c r="J55" s="8" t="s">
        <v>436</v>
      </c>
      <c r="K55" s="9" t="n">
        <f aca="false">LEN(J55)</f>
        <v>49</v>
      </c>
      <c r="L55" s="8" t="s">
        <v>437</v>
      </c>
      <c r="M55" s="8" t="s">
        <v>48</v>
      </c>
      <c r="N55" s="8" t="s">
        <v>49</v>
      </c>
      <c r="O55" s="8" t="s">
        <v>438</v>
      </c>
      <c r="P55" s="10" t="s">
        <v>51</v>
      </c>
      <c r="Q55" s="10"/>
    </row>
    <row r="56" customFormat="false" ht="23.85" hidden="false" customHeight="false" outlineLevel="0" collapsed="false">
      <c r="A56" s="6" t="n">
        <v>55</v>
      </c>
      <c r="B56" s="12" t="n">
        <v>2</v>
      </c>
      <c r="C56" s="8" t="s">
        <v>423</v>
      </c>
      <c r="D56" s="8" t="s">
        <v>439</v>
      </c>
      <c r="E56" s="8" t="s">
        <v>440</v>
      </c>
      <c r="F56" s="8" t="str">
        <f aca="false">"https://ayurvedachalam.com"&amp;E56</f>
        <v>https://ayurvedachalam.com/concerns/knee-and-joint-discomfort/</v>
      </c>
      <c r="G56" s="8" t="s">
        <v>441</v>
      </c>
      <c r="H56" s="8" t="s">
        <v>442</v>
      </c>
      <c r="I56" s="8" t="s">
        <v>435</v>
      </c>
      <c r="J56" s="8" t="s">
        <v>443</v>
      </c>
      <c r="K56" s="9" t="n">
        <f aca="false">LEN(J56)</f>
        <v>49</v>
      </c>
      <c r="L56" s="8" t="s">
        <v>444</v>
      </c>
      <c r="M56" s="8" t="s">
        <v>48</v>
      </c>
      <c r="N56" s="8" t="s">
        <v>49</v>
      </c>
      <c r="O56" s="8" t="s">
        <v>445</v>
      </c>
      <c r="P56" s="10" t="s">
        <v>51</v>
      </c>
      <c r="Q56" s="10"/>
    </row>
    <row r="57" customFormat="false" ht="23.85" hidden="false" customHeight="false" outlineLevel="0" collapsed="false">
      <c r="A57" s="6" t="n">
        <v>56</v>
      </c>
      <c r="B57" s="12" t="n">
        <v>2</v>
      </c>
      <c r="C57" s="8" t="s">
        <v>423</v>
      </c>
      <c r="D57" s="8" t="s">
        <v>446</v>
      </c>
      <c r="E57" s="8" t="s">
        <v>447</v>
      </c>
      <c r="F57" s="8" t="str">
        <f aca="false">"https://ayurvedachalam.com"&amp;E57</f>
        <v>https://ayurvedachalam.com/concerns/neck-and-shoulder-tension/</v>
      </c>
      <c r="G57" s="8" t="s">
        <v>448</v>
      </c>
      <c r="H57" s="8" t="s">
        <v>449</v>
      </c>
      <c r="I57" s="8" t="s">
        <v>435</v>
      </c>
      <c r="J57" s="8" t="s">
        <v>450</v>
      </c>
      <c r="K57" s="9" t="n">
        <f aca="false">LEN(J57)</f>
        <v>49</v>
      </c>
      <c r="L57" s="8" t="s">
        <v>451</v>
      </c>
      <c r="M57" s="8" t="s">
        <v>49</v>
      </c>
      <c r="N57" s="8" t="s">
        <v>59</v>
      </c>
      <c r="O57" s="8" t="s">
        <v>452</v>
      </c>
      <c r="P57" s="10" t="s">
        <v>51</v>
      </c>
      <c r="Q57" s="10"/>
    </row>
    <row r="58" customFormat="false" ht="23.85" hidden="false" customHeight="false" outlineLevel="0" collapsed="false">
      <c r="A58" s="6" t="n">
        <v>57</v>
      </c>
      <c r="B58" s="12" t="n">
        <v>2</v>
      </c>
      <c r="C58" s="8" t="s">
        <v>423</v>
      </c>
      <c r="D58" s="8" t="s">
        <v>453</v>
      </c>
      <c r="E58" s="8" t="s">
        <v>454</v>
      </c>
      <c r="F58" s="8" t="str">
        <f aca="false">"https://ayurvedachalam.com"&amp;E58</f>
        <v>https://ayurvedachalam.com/concerns/sinus-congestion/</v>
      </c>
      <c r="G58" s="8" t="s">
        <v>455</v>
      </c>
      <c r="H58" s="8" t="s">
        <v>456</v>
      </c>
      <c r="I58" s="8" t="s">
        <v>435</v>
      </c>
      <c r="J58" s="8" t="s">
        <v>457</v>
      </c>
      <c r="K58" s="9" t="n">
        <f aca="false">LEN(J58)</f>
        <v>50</v>
      </c>
      <c r="L58" s="8" t="s">
        <v>458</v>
      </c>
      <c r="M58" s="8" t="s">
        <v>48</v>
      </c>
      <c r="N58" s="8" t="s">
        <v>48</v>
      </c>
      <c r="O58" s="8" t="s">
        <v>459</v>
      </c>
      <c r="P58" s="10" t="s">
        <v>51</v>
      </c>
      <c r="Q58" s="10"/>
    </row>
    <row r="59" customFormat="false" ht="23.85" hidden="false" customHeight="false" outlineLevel="0" collapsed="false">
      <c r="A59" s="6" t="n">
        <v>58</v>
      </c>
      <c r="B59" s="12" t="n">
        <v>2</v>
      </c>
      <c r="C59" s="8" t="s">
        <v>423</v>
      </c>
      <c r="D59" s="8" t="s">
        <v>460</v>
      </c>
      <c r="E59" s="8" t="s">
        <v>461</v>
      </c>
      <c r="F59" s="8" t="str">
        <f aca="false">"https://ayurvedachalam.com"&amp;E59</f>
        <v>https://ayurvedachalam.com/concerns/stress-relief/</v>
      </c>
      <c r="G59" s="8" t="s">
        <v>462</v>
      </c>
      <c r="H59" s="8" t="s">
        <v>463</v>
      </c>
      <c r="I59" s="8" t="s">
        <v>435</v>
      </c>
      <c r="J59" s="8" t="s">
        <v>464</v>
      </c>
      <c r="K59" s="9" t="n">
        <f aca="false">LEN(J59)</f>
        <v>47</v>
      </c>
      <c r="L59" s="8" t="s">
        <v>465</v>
      </c>
      <c r="M59" s="8" t="s">
        <v>48</v>
      </c>
      <c r="N59" s="8" t="s">
        <v>49</v>
      </c>
      <c r="O59" s="8" t="s">
        <v>466</v>
      </c>
      <c r="P59" s="10" t="s">
        <v>51</v>
      </c>
      <c r="Q59" s="10"/>
    </row>
    <row r="60" customFormat="false" ht="23.85" hidden="false" customHeight="false" outlineLevel="0" collapsed="false">
      <c r="A60" s="6" t="n">
        <v>59</v>
      </c>
      <c r="B60" s="12" t="n">
        <v>2</v>
      </c>
      <c r="C60" s="8" t="s">
        <v>423</v>
      </c>
      <c r="D60" s="8" t="s">
        <v>467</v>
      </c>
      <c r="E60" s="8" t="s">
        <v>468</v>
      </c>
      <c r="F60" s="8" t="str">
        <f aca="false">"https://ayurvedachalam.com"&amp;E60</f>
        <v>https://ayurvedachalam.com/concerns/sleep-support/</v>
      </c>
      <c r="G60" s="8" t="s">
        <v>469</v>
      </c>
      <c r="H60" s="8" t="s">
        <v>470</v>
      </c>
      <c r="I60" s="8" t="s">
        <v>435</v>
      </c>
      <c r="J60" s="8" t="s">
        <v>471</v>
      </c>
      <c r="K60" s="9" t="n">
        <f aca="false">LEN(J60)</f>
        <v>36</v>
      </c>
      <c r="L60" s="8" t="s">
        <v>472</v>
      </c>
      <c r="M60" s="8" t="s">
        <v>48</v>
      </c>
      <c r="N60" s="8" t="s">
        <v>49</v>
      </c>
      <c r="O60" s="8" t="s">
        <v>473</v>
      </c>
      <c r="P60" s="10" t="s">
        <v>51</v>
      </c>
      <c r="Q60" s="10"/>
    </row>
    <row r="61" customFormat="false" ht="23.85" hidden="false" customHeight="false" outlineLevel="0" collapsed="false">
      <c r="A61" s="6" t="n">
        <v>60</v>
      </c>
      <c r="B61" s="12" t="n">
        <v>2</v>
      </c>
      <c r="C61" s="8" t="s">
        <v>423</v>
      </c>
      <c r="D61" s="8" t="s">
        <v>474</v>
      </c>
      <c r="E61" s="8" t="s">
        <v>475</v>
      </c>
      <c r="F61" s="8" t="str">
        <f aca="false">"https://ayurvedachalam.com"&amp;E61</f>
        <v>https://ayurvedachalam.com/concerns/digestion-and-bloating/</v>
      </c>
      <c r="G61" s="8" t="s">
        <v>476</v>
      </c>
      <c r="H61" s="8" t="s">
        <v>477</v>
      </c>
      <c r="I61" s="8" t="s">
        <v>435</v>
      </c>
      <c r="J61" s="8" t="s">
        <v>478</v>
      </c>
      <c r="K61" s="9" t="n">
        <f aca="false">LEN(J61)</f>
        <v>46</v>
      </c>
      <c r="L61" s="8" t="s">
        <v>479</v>
      </c>
      <c r="M61" s="8" t="s">
        <v>48</v>
      </c>
      <c r="N61" s="8" t="s">
        <v>48</v>
      </c>
      <c r="O61" s="8" t="s">
        <v>480</v>
      </c>
      <c r="P61" s="10" t="s">
        <v>51</v>
      </c>
      <c r="Q61" s="10"/>
    </row>
    <row r="62" customFormat="false" ht="23.85" hidden="false" customHeight="false" outlineLevel="0" collapsed="false">
      <c r="A62" s="6" t="n">
        <v>61</v>
      </c>
      <c r="B62" s="13" t="n">
        <v>3</v>
      </c>
      <c r="C62" s="8" t="s">
        <v>423</v>
      </c>
      <c r="D62" s="8" t="s">
        <v>481</v>
      </c>
      <c r="E62" s="8" t="s">
        <v>482</v>
      </c>
      <c r="F62" s="8" t="str">
        <f aca="false">"https://ayurvedachalam.com"&amp;E62</f>
        <v>https://ayurvedachalam.com/concerns/seasonal-allergies/</v>
      </c>
      <c r="G62" s="8" t="s">
        <v>483</v>
      </c>
      <c r="H62" s="8" t="s">
        <v>484</v>
      </c>
      <c r="I62" s="8" t="s">
        <v>435</v>
      </c>
      <c r="J62" s="8" t="s">
        <v>485</v>
      </c>
      <c r="K62" s="9" t="n">
        <f aca="false">LEN(J62)</f>
        <v>42</v>
      </c>
      <c r="L62" s="8" t="s">
        <v>486</v>
      </c>
      <c r="M62" s="8" t="s">
        <v>49</v>
      </c>
      <c r="N62" s="8" t="s">
        <v>49</v>
      </c>
      <c r="O62" s="8" t="s">
        <v>487</v>
      </c>
      <c r="P62" s="10" t="s">
        <v>51</v>
      </c>
      <c r="Q62" s="10"/>
    </row>
    <row r="63" customFormat="false" ht="23.85" hidden="false" customHeight="false" outlineLevel="0" collapsed="false">
      <c r="A63" s="6" t="n">
        <v>62</v>
      </c>
      <c r="B63" s="13" t="n">
        <v>3</v>
      </c>
      <c r="C63" s="8" t="s">
        <v>423</v>
      </c>
      <c r="D63" s="8" t="s">
        <v>488</v>
      </c>
      <c r="E63" s="8" t="s">
        <v>489</v>
      </c>
      <c r="F63" s="8" t="str">
        <f aca="false">"https://ayurvedachalam.com"&amp;E63</f>
        <v>https://ayurvedachalam.com/concerns/dry-and-sensitive-skin/</v>
      </c>
      <c r="G63" s="8" t="s">
        <v>490</v>
      </c>
      <c r="H63" s="8" t="s">
        <v>491</v>
      </c>
      <c r="I63" s="8" t="s">
        <v>435</v>
      </c>
      <c r="J63" s="8" t="s">
        <v>492</v>
      </c>
      <c r="K63" s="9" t="n">
        <f aca="false">LEN(J63)</f>
        <v>46</v>
      </c>
      <c r="L63" s="8" t="s">
        <v>493</v>
      </c>
      <c r="M63" s="8" t="s">
        <v>49</v>
      </c>
      <c r="N63" s="8" t="s">
        <v>49</v>
      </c>
      <c r="O63" s="8" t="s">
        <v>494</v>
      </c>
      <c r="P63" s="10" t="s">
        <v>51</v>
      </c>
      <c r="Q63" s="10"/>
    </row>
    <row r="64" customFormat="false" ht="23.85" hidden="false" customHeight="false" outlineLevel="0" collapsed="false">
      <c r="A64" s="6" t="n">
        <v>63</v>
      </c>
      <c r="B64" s="13" t="n">
        <v>3</v>
      </c>
      <c r="C64" s="8" t="s">
        <v>423</v>
      </c>
      <c r="D64" s="8" t="s">
        <v>495</v>
      </c>
      <c r="E64" s="8" t="s">
        <v>496</v>
      </c>
      <c r="F64" s="8" t="str">
        <f aca="false">"https://ayurvedachalam.com"&amp;E64</f>
        <v>https://ayurvedachalam.com/concerns/acne-prone-skin/</v>
      </c>
      <c r="G64" s="8" t="s">
        <v>497</v>
      </c>
      <c r="H64" s="8" t="s">
        <v>498</v>
      </c>
      <c r="I64" s="8" t="s">
        <v>435</v>
      </c>
      <c r="J64" s="8" t="s">
        <v>499</v>
      </c>
      <c r="K64" s="9" t="n">
        <f aca="false">LEN(J64)</f>
        <v>39</v>
      </c>
      <c r="L64" s="8" t="s">
        <v>500</v>
      </c>
      <c r="M64" s="8" t="s">
        <v>49</v>
      </c>
      <c r="N64" s="8" t="s">
        <v>48</v>
      </c>
      <c r="O64" s="8" t="s">
        <v>501</v>
      </c>
      <c r="P64" s="10" t="s">
        <v>51</v>
      </c>
      <c r="Q64" s="10"/>
    </row>
    <row r="65" customFormat="false" ht="23.85" hidden="false" customHeight="false" outlineLevel="0" collapsed="false">
      <c r="A65" s="6" t="n">
        <v>64</v>
      </c>
      <c r="B65" s="13" t="n">
        <v>3</v>
      </c>
      <c r="C65" s="8" t="s">
        <v>423</v>
      </c>
      <c r="D65" s="8" t="s">
        <v>502</v>
      </c>
      <c r="E65" s="8" t="s">
        <v>503</v>
      </c>
      <c r="F65" s="8" t="str">
        <f aca="false">"https://ayurvedachalam.com"&amp;E65</f>
        <v>https://ayurvedachalam.com/concerns/hair-fall-and-scalp/</v>
      </c>
      <c r="G65" s="8" t="s">
        <v>504</v>
      </c>
      <c r="H65" s="8" t="s">
        <v>505</v>
      </c>
      <c r="I65" s="8" t="s">
        <v>435</v>
      </c>
      <c r="J65" s="8" t="s">
        <v>506</v>
      </c>
      <c r="K65" s="9" t="n">
        <f aca="false">LEN(J65)</f>
        <v>48</v>
      </c>
      <c r="L65" s="8" t="s">
        <v>507</v>
      </c>
      <c r="M65" s="8" t="s">
        <v>48</v>
      </c>
      <c r="N65" s="8" t="s">
        <v>48</v>
      </c>
      <c r="O65" s="8" t="s">
        <v>330</v>
      </c>
      <c r="P65" s="10" t="s">
        <v>51</v>
      </c>
      <c r="Q65" s="10"/>
    </row>
    <row r="66" customFormat="false" ht="23.85" hidden="false" customHeight="false" outlineLevel="0" collapsed="false">
      <c r="A66" s="6" t="n">
        <v>65</v>
      </c>
      <c r="B66" s="13" t="n">
        <v>3</v>
      </c>
      <c r="C66" s="8" t="s">
        <v>423</v>
      </c>
      <c r="D66" s="8" t="s">
        <v>508</v>
      </c>
      <c r="E66" s="8" t="s">
        <v>509</v>
      </c>
      <c r="F66" s="8" t="str">
        <f aca="false">"https://ayurvedachalam.com"&amp;E66</f>
        <v>https://ayurvedachalam.com/concerns/headaches-and-tension/</v>
      </c>
      <c r="G66" s="8" t="s">
        <v>510</v>
      </c>
      <c r="H66" s="8" t="s">
        <v>511</v>
      </c>
      <c r="I66" s="8" t="s">
        <v>435</v>
      </c>
      <c r="J66" s="8" t="s">
        <v>512</v>
      </c>
      <c r="K66" s="9" t="n">
        <f aca="false">LEN(J66)</f>
        <v>45</v>
      </c>
      <c r="L66" s="8" t="s">
        <v>513</v>
      </c>
      <c r="M66" s="8" t="s">
        <v>49</v>
      </c>
      <c r="N66" s="8" t="s">
        <v>49</v>
      </c>
      <c r="O66" s="8" t="s">
        <v>514</v>
      </c>
      <c r="P66" s="10" t="s">
        <v>51</v>
      </c>
      <c r="Q66" s="10"/>
    </row>
    <row r="67" customFormat="false" ht="23.85" hidden="false" customHeight="false" outlineLevel="0" collapsed="false">
      <c r="A67" s="6" t="n">
        <v>66</v>
      </c>
      <c r="B67" s="13" t="n">
        <v>3</v>
      </c>
      <c r="C67" s="8" t="s">
        <v>423</v>
      </c>
      <c r="D67" s="8" t="s">
        <v>515</v>
      </c>
      <c r="E67" s="8" t="s">
        <v>516</v>
      </c>
      <c r="F67" s="8" t="str">
        <f aca="false">"https://ayurvedachalam.com"&amp;E67</f>
        <v>https://ayurvedachalam.com/concerns/menopause-support/</v>
      </c>
      <c r="G67" s="8" t="s">
        <v>517</v>
      </c>
      <c r="H67" s="8" t="s">
        <v>518</v>
      </c>
      <c r="I67" s="8" t="s">
        <v>435</v>
      </c>
      <c r="J67" s="8" t="s">
        <v>519</v>
      </c>
      <c r="K67" s="9" t="n">
        <f aca="false">LEN(J67)</f>
        <v>41</v>
      </c>
      <c r="L67" s="8" t="s">
        <v>520</v>
      </c>
      <c r="M67" s="8" t="s">
        <v>49</v>
      </c>
      <c r="N67" s="8" t="s">
        <v>49</v>
      </c>
      <c r="O67" s="8" t="s">
        <v>521</v>
      </c>
      <c r="P67" s="10" t="s">
        <v>51</v>
      </c>
      <c r="Q67" s="10"/>
    </row>
    <row r="68" customFormat="false" ht="23.85" hidden="false" customHeight="false" outlineLevel="0" collapsed="false">
      <c r="A68" s="6" t="n">
        <v>67</v>
      </c>
      <c r="B68" s="13" t="n">
        <v>3</v>
      </c>
      <c r="C68" s="8" t="s">
        <v>423</v>
      </c>
      <c r="D68" s="8" t="s">
        <v>522</v>
      </c>
      <c r="E68" s="8" t="s">
        <v>523</v>
      </c>
      <c r="F68" s="8" t="str">
        <f aca="false">"https://ayurvedachalam.com"&amp;E68</f>
        <v>https://ayurvedachalam.com/concerns/low-energy-and-fatigue/</v>
      </c>
      <c r="G68" s="8" t="s">
        <v>524</v>
      </c>
      <c r="H68" s="8" t="s">
        <v>525</v>
      </c>
      <c r="I68" s="8" t="s">
        <v>435</v>
      </c>
      <c r="J68" s="8" t="s">
        <v>526</v>
      </c>
      <c r="K68" s="9" t="n">
        <f aca="false">LEN(J68)</f>
        <v>46</v>
      </c>
      <c r="L68" s="8" t="s">
        <v>527</v>
      </c>
      <c r="M68" s="8" t="s">
        <v>49</v>
      </c>
      <c r="N68" s="8" t="s">
        <v>49</v>
      </c>
      <c r="O68" s="8" t="s">
        <v>528</v>
      </c>
      <c r="P68" s="10" t="s">
        <v>51</v>
      </c>
      <c r="Q68" s="10"/>
    </row>
    <row r="69" customFormat="false" ht="23.85" hidden="false" customHeight="false" outlineLevel="0" collapsed="false">
      <c r="A69" s="6" t="n">
        <v>68</v>
      </c>
      <c r="B69" s="7" t="n">
        <v>1</v>
      </c>
      <c r="C69" s="8" t="s">
        <v>529</v>
      </c>
      <c r="D69" s="8" t="s">
        <v>530</v>
      </c>
      <c r="E69" s="8" t="s">
        <v>531</v>
      </c>
      <c r="F69" s="8" t="str">
        <f aca="false">"https://ayurvedachalam.com"&amp;E69</f>
        <v>https://ayurvedachalam.com/calgary/</v>
      </c>
      <c r="G69" s="8" t="s">
        <v>532</v>
      </c>
      <c r="H69" s="8" t="s">
        <v>533</v>
      </c>
      <c r="I69" s="8" t="s">
        <v>144</v>
      </c>
      <c r="J69" s="8" t="s">
        <v>534</v>
      </c>
      <c r="K69" s="9" t="n">
        <f aca="false">LEN(J69)</f>
        <v>55</v>
      </c>
      <c r="L69" s="8" t="s">
        <v>535</v>
      </c>
      <c r="M69" s="8" t="s">
        <v>48</v>
      </c>
      <c r="N69" s="8" t="s">
        <v>49</v>
      </c>
      <c r="O69" s="8" t="s">
        <v>536</v>
      </c>
      <c r="P69" s="10" t="s">
        <v>51</v>
      </c>
      <c r="Q69" s="10"/>
    </row>
    <row r="70" customFormat="false" ht="23.85" hidden="false" customHeight="false" outlineLevel="0" collapsed="false">
      <c r="A70" s="6" t="n">
        <v>69</v>
      </c>
      <c r="B70" s="13" t="n">
        <v>3</v>
      </c>
      <c r="C70" s="8" t="s">
        <v>529</v>
      </c>
      <c r="D70" s="8" t="s">
        <v>537</v>
      </c>
      <c r="E70" s="8" t="s">
        <v>538</v>
      </c>
      <c r="F70" s="8" t="str">
        <f aca="false">"https://ayurvedachalam.com"&amp;E70</f>
        <v>https://ayurvedachalam.com/calgary/sw/</v>
      </c>
      <c r="G70" s="8" t="s">
        <v>539</v>
      </c>
      <c r="H70" s="8" t="s">
        <v>540</v>
      </c>
      <c r="I70" s="8" t="s">
        <v>144</v>
      </c>
      <c r="J70" s="8" t="s">
        <v>541</v>
      </c>
      <c r="K70" s="9" t="n">
        <f aca="false">LEN(J70)</f>
        <v>50</v>
      </c>
      <c r="L70" s="8" t="s">
        <v>542</v>
      </c>
      <c r="M70" s="8" t="s">
        <v>59</v>
      </c>
      <c r="N70" s="8" t="s">
        <v>59</v>
      </c>
      <c r="O70" s="8" t="s">
        <v>543</v>
      </c>
      <c r="P70" s="10" t="s">
        <v>51</v>
      </c>
      <c r="Q70" s="10"/>
    </row>
    <row r="71" customFormat="false" ht="15" hidden="false" customHeight="false" outlineLevel="0" collapsed="false">
      <c r="A71" s="6" t="n">
        <v>70</v>
      </c>
      <c r="B71" s="13" t="n">
        <v>3</v>
      </c>
      <c r="C71" s="8" t="s">
        <v>529</v>
      </c>
      <c r="D71" s="8" t="s">
        <v>544</v>
      </c>
      <c r="E71" s="8" t="s">
        <v>545</v>
      </c>
      <c r="F71" s="8" t="str">
        <f aca="false">"https://ayurvedachalam.com"&amp;E71</f>
        <v>https://ayurvedachalam.com/calgary/nw/</v>
      </c>
      <c r="G71" s="8" t="s">
        <v>546</v>
      </c>
      <c r="H71" s="8" t="s">
        <v>547</v>
      </c>
      <c r="I71" s="8" t="s">
        <v>144</v>
      </c>
      <c r="J71" s="8" t="s">
        <v>548</v>
      </c>
      <c r="K71" s="9" t="n">
        <f aca="false">LEN(J71)</f>
        <v>50</v>
      </c>
      <c r="L71" s="8" t="s">
        <v>549</v>
      </c>
      <c r="M71" s="8" t="s">
        <v>59</v>
      </c>
      <c r="N71" s="8" t="s">
        <v>59</v>
      </c>
      <c r="O71" s="8" t="s">
        <v>550</v>
      </c>
      <c r="P71" s="10" t="s">
        <v>51</v>
      </c>
      <c r="Q71" s="10"/>
    </row>
    <row r="72" customFormat="false" ht="15" hidden="false" customHeight="false" outlineLevel="0" collapsed="false">
      <c r="A72" s="6" t="n">
        <v>71</v>
      </c>
      <c r="B72" s="13" t="n">
        <v>3</v>
      </c>
      <c r="C72" s="8" t="s">
        <v>529</v>
      </c>
      <c r="D72" s="8" t="s">
        <v>551</v>
      </c>
      <c r="E72" s="8" t="s">
        <v>552</v>
      </c>
      <c r="F72" s="8" t="str">
        <f aca="false">"https://ayurvedachalam.com"&amp;E72</f>
        <v>https://ayurvedachalam.com/calgary/ne/</v>
      </c>
      <c r="G72" s="8" t="s">
        <v>553</v>
      </c>
      <c r="H72" s="8" t="s">
        <v>554</v>
      </c>
      <c r="I72" s="8" t="s">
        <v>144</v>
      </c>
      <c r="J72" s="8" t="s">
        <v>555</v>
      </c>
      <c r="K72" s="9" t="n">
        <f aca="false">LEN(J72)</f>
        <v>50</v>
      </c>
      <c r="L72" s="8" t="s">
        <v>556</v>
      </c>
      <c r="M72" s="8" t="s">
        <v>59</v>
      </c>
      <c r="N72" s="8" t="s">
        <v>59</v>
      </c>
      <c r="O72" s="8" t="s">
        <v>557</v>
      </c>
      <c r="P72" s="10" t="s">
        <v>51</v>
      </c>
      <c r="Q72" s="10"/>
    </row>
    <row r="73" customFormat="false" ht="15" hidden="false" customHeight="false" outlineLevel="0" collapsed="false">
      <c r="A73" s="6" t="n">
        <v>72</v>
      </c>
      <c r="B73" s="13" t="n">
        <v>3</v>
      </c>
      <c r="C73" s="8" t="s">
        <v>529</v>
      </c>
      <c r="D73" s="8" t="s">
        <v>558</v>
      </c>
      <c r="E73" s="8" t="s">
        <v>559</v>
      </c>
      <c r="F73" s="8" t="str">
        <f aca="false">"https://ayurvedachalam.com"&amp;E73</f>
        <v>https://ayurvedachalam.com/calgary/se/</v>
      </c>
      <c r="G73" s="8" t="s">
        <v>560</v>
      </c>
      <c r="H73" s="8" t="s">
        <v>561</v>
      </c>
      <c r="I73" s="8" t="s">
        <v>144</v>
      </c>
      <c r="J73" s="8" t="s">
        <v>562</v>
      </c>
      <c r="K73" s="9" t="n">
        <f aca="false">LEN(J73)</f>
        <v>50</v>
      </c>
      <c r="L73" s="8" t="s">
        <v>563</v>
      </c>
      <c r="M73" s="8" t="s">
        <v>59</v>
      </c>
      <c r="N73" s="8" t="s">
        <v>59</v>
      </c>
      <c r="O73" s="8" t="s">
        <v>564</v>
      </c>
      <c r="P73" s="10" t="s">
        <v>51</v>
      </c>
      <c r="Q73" s="10"/>
    </row>
    <row r="74" customFormat="false" ht="23.85" hidden="false" customHeight="false" outlineLevel="0" collapsed="false">
      <c r="A74" s="6" t="n">
        <v>73</v>
      </c>
      <c r="B74" s="13" t="n">
        <v>3</v>
      </c>
      <c r="C74" s="8" t="s">
        <v>565</v>
      </c>
      <c r="D74" s="8" t="s">
        <v>566</v>
      </c>
      <c r="E74" s="8" t="s">
        <v>567</v>
      </c>
      <c r="F74" s="8" t="str">
        <f aca="false">"https://ayurvedachalam.com"&amp;E74</f>
        <v>https://ayurvedachalam.com/online/alberta/</v>
      </c>
      <c r="G74" s="8" t="s">
        <v>568</v>
      </c>
      <c r="H74" s="8" t="s">
        <v>569</v>
      </c>
      <c r="I74" s="8" t="s">
        <v>66</v>
      </c>
      <c r="J74" s="8" t="s">
        <v>570</v>
      </c>
      <c r="K74" s="9" t="n">
        <f aca="false">LEN(J74)</f>
        <v>40</v>
      </c>
      <c r="L74" s="8" t="s">
        <v>571</v>
      </c>
      <c r="M74" s="8" t="s">
        <v>49</v>
      </c>
      <c r="N74" s="8" t="s">
        <v>59</v>
      </c>
      <c r="O74" s="8" t="s">
        <v>572</v>
      </c>
      <c r="P74" s="10" t="s">
        <v>51</v>
      </c>
      <c r="Q74" s="10"/>
    </row>
    <row r="75" customFormat="false" ht="15" hidden="false" customHeight="false" outlineLevel="0" collapsed="false">
      <c r="A75" s="6" t="n">
        <v>74</v>
      </c>
      <c r="B75" s="13" t="n">
        <v>3</v>
      </c>
      <c r="C75" s="8" t="s">
        <v>565</v>
      </c>
      <c r="D75" s="8" t="s">
        <v>573</v>
      </c>
      <c r="E75" s="8" t="s">
        <v>574</v>
      </c>
      <c r="F75" s="8" t="str">
        <f aca="false">"https://ayurvedachalam.com"&amp;E75</f>
        <v>https://ayurvedachalam.com/online/british-columbia/</v>
      </c>
      <c r="G75" s="8" t="s">
        <v>575</v>
      </c>
      <c r="H75" s="8" t="s">
        <v>576</v>
      </c>
      <c r="I75" s="8" t="s">
        <v>66</v>
      </c>
      <c r="J75" s="8" t="s">
        <v>577</v>
      </c>
      <c r="K75" s="9" t="n">
        <f aca="false">LEN(J75)</f>
        <v>49</v>
      </c>
      <c r="L75" s="8" t="s">
        <v>578</v>
      </c>
      <c r="M75" s="8" t="s">
        <v>49</v>
      </c>
      <c r="N75" s="8" t="s">
        <v>48</v>
      </c>
      <c r="O75" s="8" t="s">
        <v>579</v>
      </c>
      <c r="P75" s="10" t="s">
        <v>51</v>
      </c>
      <c r="Q75" s="10"/>
    </row>
    <row r="76" customFormat="false" ht="23.85" hidden="false" customHeight="false" outlineLevel="0" collapsed="false">
      <c r="A76" s="6" t="n">
        <v>75</v>
      </c>
      <c r="B76" s="13" t="n">
        <v>3</v>
      </c>
      <c r="C76" s="8" t="s">
        <v>565</v>
      </c>
      <c r="D76" s="8" t="s">
        <v>580</v>
      </c>
      <c r="E76" s="8" t="s">
        <v>581</v>
      </c>
      <c r="F76" s="8" t="str">
        <f aca="false">"https://ayurvedachalam.com"&amp;E76</f>
        <v>https://ayurvedachalam.com/online/ontario/</v>
      </c>
      <c r="G76" s="8" t="s">
        <v>582</v>
      </c>
      <c r="H76" s="8" t="s">
        <v>583</v>
      </c>
      <c r="I76" s="8" t="s">
        <v>66</v>
      </c>
      <c r="J76" s="8" t="s">
        <v>584</v>
      </c>
      <c r="K76" s="9" t="n">
        <f aca="false">LEN(J76)</f>
        <v>40</v>
      </c>
      <c r="L76" s="8" t="s">
        <v>585</v>
      </c>
      <c r="M76" s="8" t="s">
        <v>49</v>
      </c>
      <c r="N76" s="8" t="s">
        <v>48</v>
      </c>
      <c r="O76" s="8" t="s">
        <v>586</v>
      </c>
      <c r="P76" s="10" t="s">
        <v>51</v>
      </c>
      <c r="Q76" s="10"/>
    </row>
    <row r="77" customFormat="false" ht="23.85" hidden="false" customHeight="false" outlineLevel="0" collapsed="false">
      <c r="A77" s="6" t="n">
        <v>76</v>
      </c>
      <c r="B77" s="13" t="n">
        <v>3</v>
      </c>
      <c r="C77" s="8" t="s">
        <v>565</v>
      </c>
      <c r="D77" s="8" t="s">
        <v>587</v>
      </c>
      <c r="E77" s="8" t="s">
        <v>588</v>
      </c>
      <c r="F77" s="8" t="str">
        <f aca="false">"https://ayurvedachalam.com"&amp;E77</f>
        <v>https://ayurvedachalam.com/online/how-it-works/</v>
      </c>
      <c r="G77" s="8" t="s">
        <v>589</v>
      </c>
      <c r="H77" s="8" t="s">
        <v>590</v>
      </c>
      <c r="I77" s="8" t="s">
        <v>114</v>
      </c>
      <c r="J77" s="8" t="s">
        <v>591</v>
      </c>
      <c r="K77" s="9" t="n">
        <f aca="false">LEN(J77)</f>
        <v>39</v>
      </c>
      <c r="L77" s="8" t="s">
        <v>592</v>
      </c>
      <c r="M77" s="8" t="s">
        <v>59</v>
      </c>
      <c r="N77" s="8" t="s">
        <v>59</v>
      </c>
      <c r="O77" s="8" t="s">
        <v>593</v>
      </c>
      <c r="P77" s="10" t="s">
        <v>51</v>
      </c>
      <c r="Q77" s="10"/>
    </row>
    <row r="78" customFormat="false" ht="15" hidden="false" customHeight="false" outlineLevel="0" collapsed="false">
      <c r="A78" s="6" t="n">
        <v>77</v>
      </c>
      <c r="B78" s="7" t="n">
        <v>1</v>
      </c>
      <c r="C78" s="8" t="s">
        <v>594</v>
      </c>
      <c r="D78" s="8" t="s">
        <v>595</v>
      </c>
      <c r="E78" s="8" t="s">
        <v>596</v>
      </c>
      <c r="F78" s="8" t="str">
        <f aca="false">"https://ayurvedachalam.com"&amp;E78</f>
        <v>https://ayurvedachalam.com/learn/</v>
      </c>
      <c r="G78" s="8" t="s">
        <v>597</v>
      </c>
      <c r="H78" s="8" t="s">
        <v>598</v>
      </c>
      <c r="I78" s="8" t="s">
        <v>114</v>
      </c>
      <c r="J78" s="8" t="s">
        <v>599</v>
      </c>
      <c r="K78" s="9" t="n">
        <f aca="false">LEN(J78)</f>
        <v>48</v>
      </c>
      <c r="L78" s="8" t="s">
        <v>600</v>
      </c>
      <c r="M78" s="8" t="s">
        <v>59</v>
      </c>
      <c r="N78" s="8" t="s">
        <v>59</v>
      </c>
      <c r="O78" s="8" t="s">
        <v>601</v>
      </c>
      <c r="P78" s="10" t="s">
        <v>51</v>
      </c>
      <c r="Q78" s="10"/>
    </row>
    <row r="79" customFormat="false" ht="23.85" hidden="false" customHeight="false" outlineLevel="0" collapsed="false">
      <c r="A79" s="6" t="n">
        <v>78</v>
      </c>
      <c r="B79" s="14" t="s">
        <v>602</v>
      </c>
      <c r="C79" s="8" t="s">
        <v>594</v>
      </c>
      <c r="D79" s="8" t="s">
        <v>603</v>
      </c>
      <c r="E79" s="8" t="s">
        <v>604</v>
      </c>
      <c r="F79" s="8" t="str">
        <f aca="false">"https://ayurvedachalam.com"&amp;E79</f>
        <v>https://ayurvedachalam.com/learn/what-is-ayurveda/</v>
      </c>
      <c r="G79" s="8" t="s">
        <v>605</v>
      </c>
      <c r="H79" s="8" t="s">
        <v>606</v>
      </c>
      <c r="I79" s="8" t="s">
        <v>114</v>
      </c>
      <c r="J79" s="8" t="s">
        <v>607</v>
      </c>
      <c r="K79" s="9" t="n">
        <f aca="false">LEN(J79)</f>
        <v>40</v>
      </c>
      <c r="L79" s="8" t="s">
        <v>608</v>
      </c>
      <c r="M79" s="8" t="s">
        <v>48</v>
      </c>
      <c r="N79" s="8" t="s">
        <v>48</v>
      </c>
      <c r="O79" s="8" t="s">
        <v>609</v>
      </c>
      <c r="P79" s="10" t="s">
        <v>51</v>
      </c>
      <c r="Q79" s="10"/>
    </row>
    <row r="80" customFormat="false" ht="23.85" hidden="false" customHeight="false" outlineLevel="0" collapsed="false">
      <c r="A80" s="6" t="n">
        <v>79</v>
      </c>
      <c r="B80" s="14" t="s">
        <v>602</v>
      </c>
      <c r="C80" s="8" t="s">
        <v>594</v>
      </c>
      <c r="D80" s="8" t="s">
        <v>610</v>
      </c>
      <c r="E80" s="8" t="s">
        <v>611</v>
      </c>
      <c r="F80" s="8" t="str">
        <f aca="false">"https://ayurvedachalam.com"&amp;E80</f>
        <v>https://ayurvedachalam.com/learn/vata-pitta-kapha/</v>
      </c>
      <c r="G80" s="8" t="s">
        <v>612</v>
      </c>
      <c r="H80" s="8" t="s">
        <v>613</v>
      </c>
      <c r="I80" s="8" t="s">
        <v>114</v>
      </c>
      <c r="J80" s="8" t="s">
        <v>614</v>
      </c>
      <c r="K80" s="9" t="n">
        <f aca="false">LEN(J80)</f>
        <v>46</v>
      </c>
      <c r="L80" s="8" t="s">
        <v>615</v>
      </c>
      <c r="M80" s="8" t="s">
        <v>48</v>
      </c>
      <c r="N80" s="8" t="s">
        <v>48</v>
      </c>
      <c r="O80" s="8" t="s">
        <v>616</v>
      </c>
      <c r="P80" s="10" t="s">
        <v>51</v>
      </c>
      <c r="Q80" s="10"/>
    </row>
    <row r="81" customFormat="false" ht="23.85" hidden="false" customHeight="false" outlineLevel="0" collapsed="false">
      <c r="A81" s="6" t="n">
        <v>80</v>
      </c>
      <c r="B81" s="14" t="s">
        <v>602</v>
      </c>
      <c r="C81" s="8" t="s">
        <v>594</v>
      </c>
      <c r="D81" s="8" t="s">
        <v>617</v>
      </c>
      <c r="E81" s="8" t="s">
        <v>618</v>
      </c>
      <c r="F81" s="8" t="str">
        <f aca="false">"https://ayurvedachalam.com"&amp;E81</f>
        <v>https://ayurvedachalam.com/learn/vata-dosha/</v>
      </c>
      <c r="G81" s="8" t="s">
        <v>619</v>
      </c>
      <c r="H81" s="8" t="s">
        <v>620</v>
      </c>
      <c r="I81" s="8" t="s">
        <v>114</v>
      </c>
      <c r="J81" s="8" t="s">
        <v>621</v>
      </c>
      <c r="K81" s="9" t="n">
        <f aca="false">LEN(J81)</f>
        <v>41</v>
      </c>
      <c r="L81" s="8" t="s">
        <v>621</v>
      </c>
      <c r="M81" s="8" t="s">
        <v>48</v>
      </c>
      <c r="N81" s="8" t="s">
        <v>48</v>
      </c>
      <c r="O81" s="8" t="s">
        <v>622</v>
      </c>
      <c r="P81" s="10" t="s">
        <v>51</v>
      </c>
      <c r="Q81" s="10"/>
    </row>
    <row r="82" customFormat="false" ht="15" hidden="false" customHeight="false" outlineLevel="0" collapsed="false">
      <c r="A82" s="6" t="n">
        <v>81</v>
      </c>
      <c r="B82" s="14" t="s">
        <v>602</v>
      </c>
      <c r="C82" s="8" t="s">
        <v>594</v>
      </c>
      <c r="D82" s="8" t="s">
        <v>623</v>
      </c>
      <c r="E82" s="8" t="s">
        <v>624</v>
      </c>
      <c r="F82" s="8" t="str">
        <f aca="false">"https://ayurvedachalam.com"&amp;E82</f>
        <v>https://ayurvedachalam.com/learn/pitta-dosha/</v>
      </c>
      <c r="G82" s="8" t="s">
        <v>625</v>
      </c>
      <c r="H82" s="8" t="s">
        <v>626</v>
      </c>
      <c r="I82" s="8" t="s">
        <v>114</v>
      </c>
      <c r="J82" s="8" t="s">
        <v>627</v>
      </c>
      <c r="K82" s="9" t="n">
        <f aca="false">LEN(J82)</f>
        <v>42</v>
      </c>
      <c r="L82" s="8" t="s">
        <v>627</v>
      </c>
      <c r="M82" s="8" t="s">
        <v>48</v>
      </c>
      <c r="N82" s="8" t="s">
        <v>48</v>
      </c>
      <c r="O82" s="8" t="s">
        <v>628</v>
      </c>
      <c r="P82" s="10" t="s">
        <v>51</v>
      </c>
      <c r="Q82" s="10"/>
    </row>
    <row r="83" customFormat="false" ht="15" hidden="false" customHeight="false" outlineLevel="0" collapsed="false">
      <c r="A83" s="6" t="n">
        <v>82</v>
      </c>
      <c r="B83" s="14" t="s">
        <v>602</v>
      </c>
      <c r="C83" s="8" t="s">
        <v>594</v>
      </c>
      <c r="D83" s="8" t="s">
        <v>629</v>
      </c>
      <c r="E83" s="8" t="s">
        <v>630</v>
      </c>
      <c r="F83" s="8" t="str">
        <f aca="false">"https://ayurvedachalam.com"&amp;E83</f>
        <v>https://ayurvedachalam.com/learn/kapha-dosha/</v>
      </c>
      <c r="G83" s="8" t="s">
        <v>631</v>
      </c>
      <c r="H83" s="8" t="s">
        <v>632</v>
      </c>
      <c r="I83" s="8" t="s">
        <v>114</v>
      </c>
      <c r="J83" s="8" t="s">
        <v>633</v>
      </c>
      <c r="K83" s="9" t="n">
        <f aca="false">LEN(J83)</f>
        <v>42</v>
      </c>
      <c r="L83" s="8" t="s">
        <v>633</v>
      </c>
      <c r="M83" s="8" t="s">
        <v>48</v>
      </c>
      <c r="N83" s="8" t="s">
        <v>48</v>
      </c>
      <c r="O83" s="8" t="s">
        <v>634</v>
      </c>
      <c r="P83" s="10" t="s">
        <v>51</v>
      </c>
      <c r="Q83" s="10"/>
    </row>
    <row r="84" customFormat="false" ht="23.85" hidden="false" customHeight="false" outlineLevel="0" collapsed="false">
      <c r="A84" s="6" t="n">
        <v>83</v>
      </c>
      <c r="B84" s="13" t="n">
        <v>3</v>
      </c>
      <c r="C84" s="8" t="s">
        <v>594</v>
      </c>
      <c r="D84" s="8" t="s">
        <v>635</v>
      </c>
      <c r="E84" s="8" t="s">
        <v>636</v>
      </c>
      <c r="F84" s="8" t="str">
        <f aca="false">"https://ayurvedachalam.com"&amp;E84</f>
        <v>https://ayurvedachalam.com/learn/dosha-quiz/</v>
      </c>
      <c r="G84" s="8" t="s">
        <v>637</v>
      </c>
      <c r="H84" s="8" t="s">
        <v>638</v>
      </c>
      <c r="I84" s="8" t="s">
        <v>114</v>
      </c>
      <c r="J84" s="8" t="s">
        <v>639</v>
      </c>
      <c r="K84" s="9" t="n">
        <f aca="false">LEN(J84)</f>
        <v>41</v>
      </c>
      <c r="L84" s="8" t="s">
        <v>639</v>
      </c>
      <c r="M84" s="8" t="s">
        <v>48</v>
      </c>
      <c r="N84" s="8" t="s">
        <v>48</v>
      </c>
      <c r="O84" s="8" t="s">
        <v>640</v>
      </c>
      <c r="P84" s="10" t="s">
        <v>51</v>
      </c>
      <c r="Q84" s="10"/>
    </row>
    <row r="85" customFormat="false" ht="23.85" hidden="false" customHeight="false" outlineLevel="0" collapsed="false">
      <c r="A85" s="6" t="n">
        <v>84</v>
      </c>
      <c r="B85" s="14" t="s">
        <v>602</v>
      </c>
      <c r="C85" s="8" t="s">
        <v>594</v>
      </c>
      <c r="D85" s="8" t="s">
        <v>641</v>
      </c>
      <c r="E85" s="8" t="s">
        <v>642</v>
      </c>
      <c r="F85" s="8" t="str">
        <f aca="false">"https://ayurvedachalam.com"&amp;E85</f>
        <v>https://ayurvedachalam.com/learn/what-is-bams/</v>
      </c>
      <c r="G85" s="8" t="s">
        <v>643</v>
      </c>
      <c r="H85" s="8" t="s">
        <v>644</v>
      </c>
      <c r="I85" s="8" t="s">
        <v>114</v>
      </c>
      <c r="J85" s="8" t="s">
        <v>645</v>
      </c>
      <c r="K85" s="9" t="n">
        <f aca="false">LEN(J85)</f>
        <v>51</v>
      </c>
      <c r="L85" s="8" t="s">
        <v>646</v>
      </c>
      <c r="M85" s="8" t="s">
        <v>49</v>
      </c>
      <c r="N85" s="8" t="s">
        <v>59</v>
      </c>
      <c r="O85" s="8" t="s">
        <v>647</v>
      </c>
      <c r="P85" s="10" t="s">
        <v>51</v>
      </c>
      <c r="Q85" s="10"/>
    </row>
    <row r="86" customFormat="false" ht="23.85" hidden="false" customHeight="false" outlineLevel="0" collapsed="false">
      <c r="A86" s="6" t="n">
        <v>85</v>
      </c>
      <c r="B86" s="7" t="n">
        <v>1</v>
      </c>
      <c r="C86" s="8" t="s">
        <v>594</v>
      </c>
      <c r="D86" s="8" t="s">
        <v>648</v>
      </c>
      <c r="E86" s="8" t="s">
        <v>649</v>
      </c>
      <c r="F86" s="8" t="str">
        <f aca="false">"https://ayurvedachalam.com"&amp;E86</f>
        <v>https://ayurvedachalam.com/learn/is-ayurveda-regulated-in-canada/</v>
      </c>
      <c r="G86" s="8" t="s">
        <v>650</v>
      </c>
      <c r="H86" s="8" t="s">
        <v>651</v>
      </c>
      <c r="I86" s="8" t="s">
        <v>114</v>
      </c>
      <c r="J86" s="8" t="s">
        <v>652</v>
      </c>
      <c r="K86" s="9" t="n">
        <f aca="false">LEN(J86)</f>
        <v>45</v>
      </c>
      <c r="L86" s="8" t="s">
        <v>653</v>
      </c>
      <c r="M86" s="8" t="s">
        <v>49</v>
      </c>
      <c r="N86" s="8" t="s">
        <v>59</v>
      </c>
      <c r="O86" s="8" t="s">
        <v>654</v>
      </c>
      <c r="P86" s="10" t="s">
        <v>51</v>
      </c>
      <c r="Q86" s="10"/>
    </row>
    <row r="87" customFormat="false" ht="23.85" hidden="false" customHeight="false" outlineLevel="0" collapsed="false">
      <c r="A87" s="6" t="n">
        <v>86</v>
      </c>
      <c r="B87" s="14" t="s">
        <v>602</v>
      </c>
      <c r="C87" s="8" t="s">
        <v>594</v>
      </c>
      <c r="D87" s="8" t="s">
        <v>655</v>
      </c>
      <c r="E87" s="8" t="s">
        <v>656</v>
      </c>
      <c r="F87" s="8" t="str">
        <f aca="false">"https://ayurvedachalam.com"&amp;E87</f>
        <v>https://ayurvedachalam.com/learn/ayurveda-vs-naturopathy/</v>
      </c>
      <c r="G87" s="8" t="s">
        <v>657</v>
      </c>
      <c r="H87" s="8" t="s">
        <v>658</v>
      </c>
      <c r="I87" s="8" t="s">
        <v>114</v>
      </c>
      <c r="J87" s="8" t="s">
        <v>659</v>
      </c>
      <c r="K87" s="9" t="n">
        <f aca="false">LEN(J87)</f>
        <v>48</v>
      </c>
      <c r="L87" s="8" t="s">
        <v>660</v>
      </c>
      <c r="M87" s="8" t="s">
        <v>49</v>
      </c>
      <c r="N87" s="8" t="s">
        <v>59</v>
      </c>
      <c r="O87" s="8" t="s">
        <v>661</v>
      </c>
      <c r="P87" s="10" t="s">
        <v>51</v>
      </c>
      <c r="Q87" s="10"/>
    </row>
    <row r="88" customFormat="false" ht="23.85" hidden="false" customHeight="false" outlineLevel="0" collapsed="false">
      <c r="A88" s="6" t="n">
        <v>87</v>
      </c>
      <c r="B88" s="14" t="s">
        <v>602</v>
      </c>
      <c r="C88" s="8" t="s">
        <v>594</v>
      </c>
      <c r="D88" s="8" t="s">
        <v>662</v>
      </c>
      <c r="E88" s="8" t="s">
        <v>663</v>
      </c>
      <c r="F88" s="8" t="str">
        <f aca="false">"https://ayurvedachalam.com"&amp;E88</f>
        <v>https://ayurvedachalam.com/learn/abhyanga-benefits/</v>
      </c>
      <c r="G88" s="8" t="s">
        <v>664</v>
      </c>
      <c r="H88" s="8" t="s">
        <v>665</v>
      </c>
      <c r="I88" s="8" t="s">
        <v>114</v>
      </c>
      <c r="J88" s="8" t="s">
        <v>666</v>
      </c>
      <c r="K88" s="9" t="n">
        <f aca="false">LEN(J88)</f>
        <v>43</v>
      </c>
      <c r="L88" s="8" t="s">
        <v>667</v>
      </c>
      <c r="M88" s="8" t="s">
        <v>48</v>
      </c>
      <c r="N88" s="8" t="s">
        <v>48</v>
      </c>
      <c r="O88" s="8" t="s">
        <v>668</v>
      </c>
      <c r="P88" s="10" t="s">
        <v>51</v>
      </c>
      <c r="Q88" s="10"/>
    </row>
    <row r="89" customFormat="false" ht="23.85" hidden="false" customHeight="false" outlineLevel="0" collapsed="false">
      <c r="A89" s="6" t="n">
        <v>88</v>
      </c>
      <c r="B89" s="7" t="n">
        <v>1</v>
      </c>
      <c r="C89" s="8" t="s">
        <v>594</v>
      </c>
      <c r="D89" s="8" t="s">
        <v>669</v>
      </c>
      <c r="E89" s="8" t="s">
        <v>670</v>
      </c>
      <c r="F89" s="8" t="str">
        <f aca="false">"https://ayurvedachalam.com"&amp;E89</f>
        <v>https://ayurvedachalam.com/learn/shirodhara-benefits/</v>
      </c>
      <c r="G89" s="8" t="s">
        <v>671</v>
      </c>
      <c r="H89" s="8" t="s">
        <v>672</v>
      </c>
      <c r="I89" s="8" t="s">
        <v>114</v>
      </c>
      <c r="J89" s="8" t="s">
        <v>673</v>
      </c>
      <c r="K89" s="9" t="n">
        <f aca="false">LEN(J89)</f>
        <v>47</v>
      </c>
      <c r="L89" s="8" t="s">
        <v>674</v>
      </c>
      <c r="M89" s="8" t="s">
        <v>48</v>
      </c>
      <c r="N89" s="8" t="s">
        <v>48</v>
      </c>
      <c r="O89" s="8" t="s">
        <v>675</v>
      </c>
      <c r="P89" s="10" t="s">
        <v>51</v>
      </c>
      <c r="Q89" s="10"/>
    </row>
    <row r="90" customFormat="false" ht="15" hidden="false" customHeight="false" outlineLevel="0" collapsed="false">
      <c r="A90" s="6" t="n">
        <v>89</v>
      </c>
      <c r="B90" s="7" t="n">
        <v>1</v>
      </c>
      <c r="C90" s="8" t="s">
        <v>594</v>
      </c>
      <c r="D90" s="8" t="s">
        <v>676</v>
      </c>
      <c r="E90" s="8" t="s">
        <v>677</v>
      </c>
      <c r="F90" s="8" t="str">
        <f aca="false">"https://ayurvedachalam.com"&amp;E90</f>
        <v>https://ayurvedachalam.com/learn/kati-basti-guide/</v>
      </c>
      <c r="G90" s="8" t="s">
        <v>678</v>
      </c>
      <c r="H90" s="8" t="s">
        <v>679</v>
      </c>
      <c r="I90" s="8" t="s">
        <v>114</v>
      </c>
      <c r="J90" s="8" t="s">
        <v>680</v>
      </c>
      <c r="K90" s="9" t="n">
        <f aca="false">LEN(J90)</f>
        <v>49</v>
      </c>
      <c r="L90" s="8" t="s">
        <v>681</v>
      </c>
      <c r="M90" s="8" t="s">
        <v>49</v>
      </c>
      <c r="N90" s="8" t="s">
        <v>49</v>
      </c>
      <c r="O90" s="8" t="s">
        <v>682</v>
      </c>
      <c r="P90" s="10" t="s">
        <v>51</v>
      </c>
      <c r="Q90" s="10"/>
    </row>
    <row r="91" customFormat="false" ht="15" hidden="false" customHeight="false" outlineLevel="0" collapsed="false">
      <c r="A91" s="6" t="n">
        <v>90</v>
      </c>
      <c r="B91" s="14" t="s">
        <v>602</v>
      </c>
      <c r="C91" s="8" t="s">
        <v>594</v>
      </c>
      <c r="D91" s="8" t="s">
        <v>683</v>
      </c>
      <c r="E91" s="8" t="s">
        <v>684</v>
      </c>
      <c r="F91" s="8" t="str">
        <f aca="false">"https://ayurvedachalam.com"&amp;E91</f>
        <v>https://ayurvedachalam.com/learn/nasya-oil-guide/</v>
      </c>
      <c r="G91" s="8" t="s">
        <v>685</v>
      </c>
      <c r="H91" s="8" t="s">
        <v>686</v>
      </c>
      <c r="I91" s="8" t="s">
        <v>114</v>
      </c>
      <c r="J91" s="8" t="s">
        <v>687</v>
      </c>
      <c r="K91" s="9" t="n">
        <f aca="false">LEN(J91)</f>
        <v>39</v>
      </c>
      <c r="L91" s="8" t="s">
        <v>687</v>
      </c>
      <c r="M91" s="8" t="s">
        <v>49</v>
      </c>
      <c r="N91" s="8" t="s">
        <v>49</v>
      </c>
      <c r="O91" s="8" t="s">
        <v>688</v>
      </c>
      <c r="P91" s="10" t="s">
        <v>51</v>
      </c>
      <c r="Q91" s="10"/>
    </row>
    <row r="92" customFormat="false" ht="23.85" hidden="false" customHeight="false" outlineLevel="0" collapsed="false">
      <c r="A92" s="6" t="n">
        <v>91</v>
      </c>
      <c r="B92" s="7" t="n">
        <v>1</v>
      </c>
      <c r="C92" s="8" t="s">
        <v>594</v>
      </c>
      <c r="D92" s="8" t="s">
        <v>689</v>
      </c>
      <c r="E92" s="8" t="s">
        <v>690</v>
      </c>
      <c r="F92" s="8" t="str">
        <f aca="false">"https://ayurvedachalam.com"&amp;E92</f>
        <v>https://ayurvedachalam.com/learn/ayurveda-for-calgary-winters/</v>
      </c>
      <c r="G92" s="8" t="s">
        <v>691</v>
      </c>
      <c r="H92" s="8" t="s">
        <v>692</v>
      </c>
      <c r="I92" s="8" t="s">
        <v>114</v>
      </c>
      <c r="J92" s="8" t="s">
        <v>693</v>
      </c>
      <c r="K92" s="9" t="n">
        <f aca="false">LEN(J92)</f>
        <v>51</v>
      </c>
      <c r="L92" s="8" t="s">
        <v>694</v>
      </c>
      <c r="M92" s="8" t="s">
        <v>49</v>
      </c>
      <c r="N92" s="8" t="s">
        <v>59</v>
      </c>
      <c r="O92" s="8" t="s">
        <v>695</v>
      </c>
      <c r="P92" s="10" t="s">
        <v>51</v>
      </c>
      <c r="Q92" s="10"/>
    </row>
    <row r="93" customFormat="false" ht="23.85" hidden="false" customHeight="false" outlineLevel="0" collapsed="false">
      <c r="A93" s="6" t="n">
        <v>92</v>
      </c>
      <c r="B93" s="14" t="s">
        <v>602</v>
      </c>
      <c r="C93" s="8" t="s">
        <v>594</v>
      </c>
      <c r="D93" s="8" t="s">
        <v>696</v>
      </c>
      <c r="E93" s="8" t="s">
        <v>697</v>
      </c>
      <c r="F93" s="8" t="str">
        <f aca="false">"https://ayurvedachalam.com"&amp;E93</f>
        <v>https://ayurvedachalam.com/learn/dinacharya-daily-routine/</v>
      </c>
      <c r="G93" s="8" t="s">
        <v>698</v>
      </c>
      <c r="H93" s="8" t="s">
        <v>699</v>
      </c>
      <c r="I93" s="8" t="s">
        <v>114</v>
      </c>
      <c r="J93" s="8" t="s">
        <v>700</v>
      </c>
      <c r="K93" s="9" t="n">
        <f aca="false">LEN(J93)</f>
        <v>39</v>
      </c>
      <c r="L93" s="8" t="s">
        <v>700</v>
      </c>
      <c r="M93" s="8" t="s">
        <v>48</v>
      </c>
      <c r="N93" s="8" t="s">
        <v>48</v>
      </c>
      <c r="O93" s="8" t="s">
        <v>701</v>
      </c>
      <c r="P93" s="10" t="s">
        <v>51</v>
      </c>
      <c r="Q93" s="10"/>
    </row>
    <row r="94" customFormat="false" ht="23.85" hidden="false" customHeight="false" outlineLevel="0" collapsed="false">
      <c r="A94" s="6" t="n">
        <v>93</v>
      </c>
      <c r="B94" s="14" t="s">
        <v>602</v>
      </c>
      <c r="C94" s="8" t="s">
        <v>594</v>
      </c>
      <c r="D94" s="8" t="s">
        <v>702</v>
      </c>
      <c r="E94" s="8" t="s">
        <v>703</v>
      </c>
      <c r="F94" s="8" t="str">
        <f aca="false">"https://ayurvedachalam.com"&amp;E94</f>
        <v>https://ayurvedachalam.com/learn/ayurvedic-diet-with-canadian-foods/</v>
      </c>
      <c r="G94" s="8" t="s">
        <v>704</v>
      </c>
      <c r="H94" s="8" t="s">
        <v>705</v>
      </c>
      <c r="I94" s="8" t="s">
        <v>114</v>
      </c>
      <c r="J94" s="8" t="s">
        <v>706</v>
      </c>
      <c r="K94" s="9" t="n">
        <f aca="false">LEN(J94)</f>
        <v>51</v>
      </c>
      <c r="L94" s="8" t="s">
        <v>707</v>
      </c>
      <c r="M94" s="8" t="s">
        <v>49</v>
      </c>
      <c r="N94" s="8" t="s">
        <v>59</v>
      </c>
      <c r="O94" s="8" t="s">
        <v>708</v>
      </c>
      <c r="P94" s="10" t="s">
        <v>51</v>
      </c>
      <c r="Q94" s="10"/>
    </row>
    <row r="95" customFormat="false" ht="23.85" hidden="false" customHeight="false" outlineLevel="0" collapsed="false">
      <c r="A95" s="6" t="n">
        <v>94</v>
      </c>
      <c r="B95" s="14" t="s">
        <v>602</v>
      </c>
      <c r="C95" s="8" t="s">
        <v>594</v>
      </c>
      <c r="D95" s="8" t="s">
        <v>709</v>
      </c>
      <c r="E95" s="8" t="s">
        <v>710</v>
      </c>
      <c r="F95" s="8" t="str">
        <f aca="false">"https://ayurvedachalam.com"&amp;E95</f>
        <v>https://ayurvedachalam.com/learn/ashwagandha-in-canada/</v>
      </c>
      <c r="G95" s="8" t="s">
        <v>711</v>
      </c>
      <c r="H95" s="8" t="s">
        <v>712</v>
      </c>
      <c r="I95" s="8" t="s">
        <v>114</v>
      </c>
      <c r="J95" s="8" t="s">
        <v>713</v>
      </c>
      <c r="K95" s="9" t="n">
        <f aca="false">LEN(J95)</f>
        <v>48</v>
      </c>
      <c r="L95" s="8" t="s">
        <v>714</v>
      </c>
      <c r="M95" s="8" t="s">
        <v>48</v>
      </c>
      <c r="N95" s="8" t="s">
        <v>48</v>
      </c>
      <c r="O95" s="8" t="s">
        <v>715</v>
      </c>
      <c r="P95" s="10" t="s">
        <v>51</v>
      </c>
      <c r="Q95" s="10"/>
    </row>
    <row r="96" customFormat="false" ht="23.85" hidden="false" customHeight="false" outlineLevel="0" collapsed="false">
      <c r="A96" s="6" t="n">
        <v>95</v>
      </c>
      <c r="B96" s="7" t="n">
        <v>1</v>
      </c>
      <c r="C96" s="8" t="s">
        <v>594</v>
      </c>
      <c r="D96" s="8" t="s">
        <v>716</v>
      </c>
      <c r="E96" s="8" t="s">
        <v>717</v>
      </c>
      <c r="F96" s="8" t="str">
        <f aca="false">"https://ayurvedachalam.com"&amp;E96</f>
        <v>https://ayurvedachalam.com/learn/are-ayurvedic-herbs-safe/</v>
      </c>
      <c r="G96" s="8" t="s">
        <v>718</v>
      </c>
      <c r="H96" s="8" t="s">
        <v>719</v>
      </c>
      <c r="I96" s="8" t="s">
        <v>114</v>
      </c>
      <c r="J96" s="8" t="s">
        <v>720</v>
      </c>
      <c r="K96" s="9" t="n">
        <f aca="false">LEN(J96)</f>
        <v>47</v>
      </c>
      <c r="L96" s="8" t="s">
        <v>721</v>
      </c>
      <c r="M96" s="8" t="s">
        <v>49</v>
      </c>
      <c r="N96" s="8" t="s">
        <v>59</v>
      </c>
      <c r="O96" s="8" t="s">
        <v>722</v>
      </c>
      <c r="P96" s="10" t="s">
        <v>51</v>
      </c>
      <c r="Q96" s="10"/>
    </row>
    <row r="97" customFormat="false" ht="23.85" hidden="false" customHeight="false" outlineLevel="0" collapsed="false">
      <c r="A97" s="6" t="n">
        <v>96</v>
      </c>
      <c r="B97" s="7" t="n">
        <v>1</v>
      </c>
      <c r="C97" s="8" t="s">
        <v>594</v>
      </c>
      <c r="D97" s="8" t="s">
        <v>723</v>
      </c>
      <c r="E97" s="8" t="s">
        <v>724</v>
      </c>
      <c r="F97" s="8" t="str">
        <f aca="false">"https://ayurvedachalam.com"&amp;E97</f>
        <v>https://ayurvedachalam.com/learn/is-ayurveda-covered-by-insurance/</v>
      </c>
      <c r="G97" s="8" t="s">
        <v>725</v>
      </c>
      <c r="H97" s="8" t="s">
        <v>726</v>
      </c>
      <c r="I97" s="8" t="s">
        <v>114</v>
      </c>
      <c r="J97" s="8" t="s">
        <v>727</v>
      </c>
      <c r="K97" s="9" t="n">
        <f aca="false">LEN(J97)</f>
        <v>43</v>
      </c>
      <c r="L97" s="8" t="s">
        <v>727</v>
      </c>
      <c r="M97" s="8" t="s">
        <v>49</v>
      </c>
      <c r="N97" s="8" t="s">
        <v>59</v>
      </c>
      <c r="O97" s="8" t="s">
        <v>728</v>
      </c>
      <c r="P97" s="10" t="s">
        <v>51</v>
      </c>
      <c r="Q97" s="10"/>
    </row>
    <row r="98" customFormat="false" ht="23.85" hidden="false" customHeight="false" outlineLevel="0" collapsed="false">
      <c r="A98" s="6" t="n">
        <v>97</v>
      </c>
      <c r="B98" s="7" t="n">
        <v>1</v>
      </c>
      <c r="C98" s="8" t="s">
        <v>729</v>
      </c>
      <c r="D98" s="8" t="s">
        <v>730</v>
      </c>
      <c r="E98" s="8" t="s">
        <v>731</v>
      </c>
      <c r="F98" s="8" t="str">
        <f aca="false">"https://ayurvedachalam.com"&amp;E98</f>
        <v>https://ayurvedachalam.com/privacy-policy/</v>
      </c>
      <c r="G98" s="8"/>
      <c r="H98" s="8"/>
      <c r="I98" s="8" t="s">
        <v>732</v>
      </c>
      <c r="J98" s="8" t="s">
        <v>733</v>
      </c>
      <c r="K98" s="9" t="n">
        <f aca="false">LEN(J98)</f>
        <v>31</v>
      </c>
      <c r="L98" s="8" t="s">
        <v>734</v>
      </c>
      <c r="M98" s="8" t="s">
        <v>735</v>
      </c>
      <c r="N98" s="8" t="s">
        <v>735</v>
      </c>
      <c r="O98" s="8" t="s">
        <v>736</v>
      </c>
      <c r="P98" s="10" t="s">
        <v>51</v>
      </c>
      <c r="Q98" s="10"/>
    </row>
    <row r="99" customFormat="false" ht="15" hidden="false" customHeight="false" outlineLevel="0" collapsed="false">
      <c r="A99" s="6" t="n">
        <v>98</v>
      </c>
      <c r="B99" s="7" t="n">
        <v>1</v>
      </c>
      <c r="C99" s="8" t="s">
        <v>729</v>
      </c>
      <c r="D99" s="8" t="s">
        <v>737</v>
      </c>
      <c r="E99" s="8" t="s">
        <v>738</v>
      </c>
      <c r="F99" s="8" t="str">
        <f aca="false">"https://ayurvedachalam.com"&amp;E99</f>
        <v>https://ayurvedachalam.com/terms/</v>
      </c>
      <c r="G99" s="8"/>
      <c r="H99" s="8"/>
      <c r="I99" s="8" t="s">
        <v>732</v>
      </c>
      <c r="J99" s="8" t="s">
        <v>739</v>
      </c>
      <c r="K99" s="9" t="n">
        <f aca="false">LEN(J99)</f>
        <v>29</v>
      </c>
      <c r="L99" s="8" t="s">
        <v>740</v>
      </c>
      <c r="M99" s="8" t="s">
        <v>735</v>
      </c>
      <c r="N99" s="8" t="s">
        <v>735</v>
      </c>
      <c r="O99" s="8"/>
      <c r="P99" s="10" t="s">
        <v>51</v>
      </c>
      <c r="Q99" s="10"/>
    </row>
    <row r="100" customFormat="false" ht="15" hidden="false" customHeight="false" outlineLevel="0" collapsed="false">
      <c r="A100" s="6" t="n">
        <v>99</v>
      </c>
      <c r="B100" s="7" t="n">
        <v>1</v>
      </c>
      <c r="C100" s="8" t="s">
        <v>729</v>
      </c>
      <c r="D100" s="8" t="s">
        <v>741</v>
      </c>
      <c r="E100" s="8" t="s">
        <v>742</v>
      </c>
      <c r="F100" s="8" t="str">
        <f aca="false">"https://ayurvedachalam.com"&amp;E100</f>
        <v>https://ayurvedachalam.com/health-disclaimer/</v>
      </c>
      <c r="G100" s="8"/>
      <c r="H100" s="8"/>
      <c r="I100" s="8" t="s">
        <v>732</v>
      </c>
      <c r="J100" s="8" t="s">
        <v>743</v>
      </c>
      <c r="K100" s="9" t="n">
        <f aca="false">LEN(J100)</f>
        <v>34</v>
      </c>
      <c r="L100" s="8" t="s">
        <v>744</v>
      </c>
      <c r="M100" s="8" t="s">
        <v>735</v>
      </c>
      <c r="N100" s="8" t="s">
        <v>735</v>
      </c>
      <c r="O100" s="8" t="s">
        <v>745</v>
      </c>
      <c r="P100" s="10" t="s">
        <v>51</v>
      </c>
      <c r="Q100" s="10"/>
    </row>
    <row r="101" customFormat="false" ht="15" hidden="false" customHeight="false" outlineLevel="0" collapsed="false">
      <c r="A101" s="6" t="n">
        <v>100</v>
      </c>
      <c r="B101" s="12" t="n">
        <v>2</v>
      </c>
      <c r="C101" s="8" t="s">
        <v>729</v>
      </c>
      <c r="D101" s="8" t="s">
        <v>746</v>
      </c>
      <c r="E101" s="8" t="s">
        <v>747</v>
      </c>
      <c r="F101" s="8" t="str">
        <f aca="false">"https://ayurvedachalam.com"&amp;E101</f>
        <v>https://ayurvedachalam.com/cancellation-policy/</v>
      </c>
      <c r="G101" s="8"/>
      <c r="H101" s="8"/>
      <c r="I101" s="8" t="s">
        <v>732</v>
      </c>
      <c r="J101" s="8" t="s">
        <v>748</v>
      </c>
      <c r="K101" s="9" t="n">
        <f aca="false">LEN(J101)</f>
        <v>36</v>
      </c>
      <c r="L101" s="8" t="s">
        <v>749</v>
      </c>
      <c r="M101" s="8" t="s">
        <v>735</v>
      </c>
      <c r="N101" s="8" t="s">
        <v>735</v>
      </c>
      <c r="O101" s="8" t="s">
        <v>750</v>
      </c>
      <c r="P101" s="10" t="s">
        <v>51</v>
      </c>
      <c r="Q101" s="10"/>
    </row>
  </sheetData>
  <autoFilter ref="A1:Q101"/>
  <conditionalFormatting sqref="K2:K101">
    <cfRule type="cellIs" priority="2" operator="greaterThan" aboveAverage="0" equalAverage="0" bottom="0" percent="0" rank="0" text="" dxfId="8">
      <formula>60</formula>
    </cfRule>
  </conditionalFormatting>
  <dataValidations count="1">
    <dataValidation allowBlank="true" errorStyle="stop" operator="between" showDropDown="false" showErrorMessage="false" showInputMessage="false" sqref="P2:P101" type="list">
      <formula1>"Not started,Drafting,In review,Published"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62"/>
    <col collapsed="false" customWidth="true" hidden="false" outlineLevel="0" max="4" min="4" style="0" width="46"/>
    <col collapsed="false" customWidth="true" hidden="false" outlineLevel="0" max="5" min="5" style="0" width="58"/>
    <col collapsed="false" customWidth="true" hidden="false" outlineLevel="0" max="6" min="6" style="0" width="66"/>
  </cols>
  <sheetData>
    <row r="1" customFormat="false" ht="15" hidden="false" customHeight="false" outlineLevel="0" collapsed="false">
      <c r="A1" s="4" t="s">
        <v>751</v>
      </c>
      <c r="B1" s="4" t="s">
        <v>752</v>
      </c>
      <c r="C1" s="4" t="s">
        <v>753</v>
      </c>
      <c r="D1" s="4" t="s">
        <v>754</v>
      </c>
      <c r="E1" s="4" t="s">
        <v>755</v>
      </c>
      <c r="F1" s="4" t="s">
        <v>756</v>
      </c>
    </row>
    <row r="2" customFormat="false" ht="23.85" hidden="false" customHeight="false" outlineLevel="0" collapsed="false">
      <c r="A2" s="15" t="s">
        <v>757</v>
      </c>
      <c r="B2" s="8" t="s">
        <v>758</v>
      </c>
      <c r="C2" s="8" t="s">
        <v>759</v>
      </c>
      <c r="D2" s="8" t="s">
        <v>42</v>
      </c>
      <c r="E2" s="8" t="s">
        <v>760</v>
      </c>
      <c r="F2" s="8" t="s">
        <v>761</v>
      </c>
    </row>
    <row r="3" customFormat="false" ht="23.85" hidden="false" customHeight="false" outlineLevel="0" collapsed="false">
      <c r="A3" s="15" t="s">
        <v>762</v>
      </c>
      <c r="B3" s="8" t="s">
        <v>763</v>
      </c>
      <c r="C3" s="8" t="s">
        <v>764</v>
      </c>
      <c r="D3" s="8" t="s">
        <v>134</v>
      </c>
      <c r="E3" s="8" t="s">
        <v>765</v>
      </c>
      <c r="F3" s="8" t="s">
        <v>766</v>
      </c>
    </row>
    <row r="4" customFormat="false" ht="23.85" hidden="false" customHeight="false" outlineLevel="0" collapsed="false">
      <c r="A4" s="15" t="s">
        <v>767</v>
      </c>
      <c r="B4" s="8" t="s">
        <v>768</v>
      </c>
      <c r="C4" s="8" t="s">
        <v>769</v>
      </c>
      <c r="D4" s="8" t="s">
        <v>248</v>
      </c>
      <c r="E4" s="8" t="s">
        <v>770</v>
      </c>
      <c r="F4" s="8" t="s">
        <v>771</v>
      </c>
    </row>
    <row r="5" customFormat="false" ht="23.85" hidden="false" customHeight="false" outlineLevel="0" collapsed="false">
      <c r="A5" s="15" t="s">
        <v>212</v>
      </c>
      <c r="B5" s="8" t="s">
        <v>772</v>
      </c>
      <c r="C5" s="8" t="s">
        <v>773</v>
      </c>
      <c r="D5" s="8" t="s">
        <v>213</v>
      </c>
      <c r="E5" s="8" t="s">
        <v>774</v>
      </c>
      <c r="F5" s="8" t="s">
        <v>775</v>
      </c>
    </row>
    <row r="6" customFormat="false" ht="23.85" hidden="false" customHeight="false" outlineLevel="0" collapsed="false">
      <c r="A6" s="15" t="s">
        <v>776</v>
      </c>
      <c r="B6" s="8" t="s">
        <v>777</v>
      </c>
      <c r="C6" s="8" t="s">
        <v>778</v>
      </c>
      <c r="D6" s="8" t="s">
        <v>220</v>
      </c>
      <c r="E6" s="8" t="s">
        <v>779</v>
      </c>
      <c r="F6" s="8" t="s">
        <v>780</v>
      </c>
    </row>
    <row r="7" customFormat="false" ht="23.85" hidden="false" customHeight="false" outlineLevel="0" collapsed="false">
      <c r="A7" s="15" t="s">
        <v>781</v>
      </c>
      <c r="B7" s="8" t="s">
        <v>782</v>
      </c>
      <c r="C7" s="8" t="s">
        <v>783</v>
      </c>
      <c r="D7" s="8" t="s">
        <v>241</v>
      </c>
      <c r="E7" s="8" t="s">
        <v>784</v>
      </c>
      <c r="F7" s="8" t="s">
        <v>785</v>
      </c>
    </row>
    <row r="8" customFormat="false" ht="23.85" hidden="false" customHeight="false" outlineLevel="0" collapsed="false">
      <c r="A8" s="15" t="s">
        <v>786</v>
      </c>
      <c r="B8" s="8" t="s">
        <v>787</v>
      </c>
      <c r="C8" s="8" t="s">
        <v>788</v>
      </c>
      <c r="D8" s="8" t="s">
        <v>255</v>
      </c>
      <c r="E8" s="8" t="s">
        <v>789</v>
      </c>
      <c r="F8" s="8" t="s">
        <v>790</v>
      </c>
    </row>
    <row r="9" customFormat="false" ht="23.85" hidden="false" customHeight="false" outlineLevel="0" collapsed="false">
      <c r="A9" s="15" t="s">
        <v>791</v>
      </c>
      <c r="B9" s="8" t="s">
        <v>792</v>
      </c>
      <c r="C9" s="8" t="s">
        <v>793</v>
      </c>
      <c r="D9" s="8" t="s">
        <v>262</v>
      </c>
      <c r="E9" s="8" t="s">
        <v>191</v>
      </c>
      <c r="F9" s="8" t="s">
        <v>794</v>
      </c>
    </row>
    <row r="10" customFormat="false" ht="23.85" hidden="false" customHeight="false" outlineLevel="0" collapsed="false">
      <c r="A10" s="15" t="s">
        <v>795</v>
      </c>
      <c r="B10" s="8" t="s">
        <v>796</v>
      </c>
      <c r="C10" s="8" t="s">
        <v>797</v>
      </c>
      <c r="D10" s="8" t="s">
        <v>432</v>
      </c>
      <c r="E10" s="8" t="s">
        <v>798</v>
      </c>
      <c r="F10" s="8" t="s">
        <v>799</v>
      </c>
    </row>
    <row r="11" customFormat="false" ht="23.85" hidden="false" customHeight="false" outlineLevel="0" collapsed="false">
      <c r="A11" s="15" t="s">
        <v>800</v>
      </c>
      <c r="B11" s="8" t="s">
        <v>801</v>
      </c>
      <c r="C11" s="8" t="s">
        <v>802</v>
      </c>
      <c r="D11" s="8" t="s">
        <v>461</v>
      </c>
      <c r="E11" s="8" t="s">
        <v>803</v>
      </c>
      <c r="F11" s="8" t="s">
        <v>804</v>
      </c>
    </row>
    <row r="12" customFormat="false" ht="23.85" hidden="false" customHeight="false" outlineLevel="0" collapsed="false">
      <c r="A12" s="15" t="s">
        <v>366</v>
      </c>
      <c r="B12" s="8" t="s">
        <v>805</v>
      </c>
      <c r="C12" s="8" t="s">
        <v>806</v>
      </c>
      <c r="D12" s="8" t="s">
        <v>368</v>
      </c>
      <c r="E12" s="8" t="s">
        <v>807</v>
      </c>
      <c r="F12" s="8" t="s">
        <v>808</v>
      </c>
    </row>
    <row r="13" customFormat="false" ht="23.85" hidden="false" customHeight="false" outlineLevel="0" collapsed="false">
      <c r="A13" s="15" t="s">
        <v>809</v>
      </c>
      <c r="B13" s="8" t="s">
        <v>810</v>
      </c>
      <c r="C13" s="8" t="s">
        <v>811</v>
      </c>
      <c r="D13" s="8" t="s">
        <v>611</v>
      </c>
      <c r="E13" s="8" t="s">
        <v>812</v>
      </c>
      <c r="F13" s="8" t="s">
        <v>813</v>
      </c>
    </row>
    <row r="14" customFormat="false" ht="23.85" hidden="false" customHeight="false" outlineLevel="0" collapsed="false">
      <c r="A14" s="15" t="s">
        <v>814</v>
      </c>
      <c r="B14" s="8" t="s">
        <v>815</v>
      </c>
      <c r="C14" s="8" t="s">
        <v>816</v>
      </c>
      <c r="D14" s="8" t="s">
        <v>649</v>
      </c>
      <c r="E14" s="8" t="s">
        <v>817</v>
      </c>
      <c r="F14" s="8" t="s">
        <v>818</v>
      </c>
    </row>
    <row r="15" customFormat="false" ht="35.05" hidden="false" customHeight="false" outlineLevel="0" collapsed="false">
      <c r="A15" s="15" t="s">
        <v>819</v>
      </c>
      <c r="B15" s="8" t="s">
        <v>820</v>
      </c>
      <c r="C15" s="8" t="s">
        <v>821</v>
      </c>
      <c r="D15" s="8" t="s">
        <v>340</v>
      </c>
      <c r="E15" s="8" t="s">
        <v>822</v>
      </c>
      <c r="F15" s="8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  <col collapsed="false" customWidth="true" hidden="false" outlineLevel="0" max="3" min="3" style="0" width="56"/>
  </cols>
  <sheetData>
    <row r="1" customFormat="false" ht="15" hidden="false" customHeight="false" outlineLevel="0" collapsed="false">
      <c r="A1" s="4" t="s">
        <v>824</v>
      </c>
      <c r="B1" s="4" t="s">
        <v>825</v>
      </c>
      <c r="C1" s="4" t="s">
        <v>826</v>
      </c>
    </row>
    <row r="2" customFormat="false" ht="35.05" hidden="false" customHeight="false" outlineLevel="0" collapsed="false">
      <c r="A2" s="15" t="s">
        <v>43</v>
      </c>
      <c r="B2" s="8" t="s">
        <v>827</v>
      </c>
      <c r="C2" s="8" t="s">
        <v>828</v>
      </c>
    </row>
    <row r="3" customFormat="false" ht="35.05" hidden="false" customHeight="false" outlineLevel="0" collapsed="false">
      <c r="A3" s="15" t="s">
        <v>214</v>
      </c>
      <c r="B3" s="8" t="s">
        <v>829</v>
      </c>
      <c r="C3" s="8" t="s">
        <v>830</v>
      </c>
    </row>
    <row r="4" customFormat="false" ht="23.85" hidden="false" customHeight="false" outlineLevel="0" collapsed="false">
      <c r="A4" s="15" t="s">
        <v>249</v>
      </c>
      <c r="B4" s="8" t="s">
        <v>831</v>
      </c>
      <c r="C4" s="8" t="s">
        <v>832</v>
      </c>
    </row>
    <row r="5" customFormat="false" ht="23.85" hidden="false" customHeight="false" outlineLevel="0" collapsed="false">
      <c r="A5" s="15" t="s">
        <v>207</v>
      </c>
      <c r="B5" s="8" t="s">
        <v>833</v>
      </c>
      <c r="C5" s="8" t="s">
        <v>834</v>
      </c>
    </row>
    <row r="6" customFormat="false" ht="15" hidden="false" customHeight="false" outlineLevel="0" collapsed="false">
      <c r="A6" s="15" t="s">
        <v>221</v>
      </c>
      <c r="B6" s="8" t="s">
        <v>835</v>
      </c>
      <c r="C6" s="8" t="s">
        <v>836</v>
      </c>
    </row>
    <row r="7" customFormat="false" ht="23.85" hidden="false" customHeight="false" outlineLevel="0" collapsed="false">
      <c r="A7" s="15" t="s">
        <v>263</v>
      </c>
      <c r="B7" s="8" t="s">
        <v>837</v>
      </c>
      <c r="C7" s="8" t="s">
        <v>838</v>
      </c>
    </row>
    <row r="8" customFormat="false" ht="23.85" hidden="false" customHeight="false" outlineLevel="0" collapsed="false">
      <c r="A8" s="15" t="s">
        <v>135</v>
      </c>
      <c r="B8" s="8" t="s">
        <v>839</v>
      </c>
      <c r="C8" s="8" t="s">
        <v>840</v>
      </c>
    </row>
    <row r="9" customFormat="false" ht="23.85" hidden="false" customHeight="false" outlineLevel="0" collapsed="false">
      <c r="A9" s="15" t="s">
        <v>841</v>
      </c>
      <c r="B9" s="8" t="s">
        <v>842</v>
      </c>
      <c r="C9" s="8" t="s">
        <v>843</v>
      </c>
    </row>
    <row r="10" customFormat="false" ht="23.85" hidden="false" customHeight="false" outlineLevel="0" collapsed="false">
      <c r="A10" s="15" t="s">
        <v>369</v>
      </c>
      <c r="B10" s="8" t="s">
        <v>844</v>
      </c>
      <c r="C10" s="8" t="s">
        <v>845</v>
      </c>
    </row>
    <row r="11" customFormat="false" ht="23.85" hidden="false" customHeight="false" outlineLevel="0" collapsed="false">
      <c r="A11" s="15" t="s">
        <v>455</v>
      </c>
      <c r="B11" s="8" t="s">
        <v>846</v>
      </c>
      <c r="C11" s="8" t="s">
        <v>847</v>
      </c>
    </row>
    <row r="12" customFormat="false" ht="23.85" hidden="false" customHeight="false" outlineLevel="0" collapsed="false">
      <c r="A12" s="15" t="s">
        <v>848</v>
      </c>
      <c r="B12" s="8" t="s">
        <v>849</v>
      </c>
      <c r="C12" s="8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2026-10-13T07:23:51Z</dcterms:created>
  <dc:creator>openpyxl</dc:creator>
  <dc:description/>
  <dc:language>en-US</dc:language>
  <cp:lastModifiedBy/>
  <dcterms:modified xsi:type="dcterms:W3CDTF">2026-10-13T07:23:51Z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